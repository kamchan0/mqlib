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codeName="ThisWorkbook" defaultThemeVersion="124226"/>
  <bookViews>
    <workbookView xWindow="0" yWindow="15" windowWidth="19080" windowHeight="13455" activeTab="2"/>
  </bookViews>
  <sheets>
    <sheet name="MultiCurve" sheetId="1" r:id="rId1"/>
    <sheet name="SingleCurve" sheetId="2" r:id="rId2"/>
    <sheet name="Market" sheetId="3" r:id="rId3"/>
  </sheets>
  <definedNames>
    <definedName name="Rates_Date">Market!$C$3</definedName>
  </definedNames>
  <calcPr calcId="145621" calcMode="manual" calcCompleted="0" calcOnSave="0"/>
</workbook>
</file>

<file path=xl/calcChain.xml><?xml version="1.0" encoding="utf-8"?>
<calcChain xmlns="http://schemas.openxmlformats.org/spreadsheetml/2006/main">
  <c r="AK57" i="1" l="1" a="1"/>
  <c r="AK57" i="1"/>
  <c r="AL57" i="1"/>
  <c r="AK56" i="1" a="1"/>
  <c r="AK56" i="1"/>
  <c r="AL56" i="1"/>
  <c r="AM56" i="1"/>
  <c r="AG58" i="1" a="1"/>
  <c r="AG58" i="1"/>
  <c r="AH58" i="1"/>
  <c r="AI58" i="1"/>
  <c r="AJ58" i="1"/>
  <c r="AK58" i="1" a="1"/>
  <c r="AK58" i="1"/>
  <c r="AL58" i="1"/>
  <c r="AG57" i="1" a="1"/>
  <c r="AG57" i="1"/>
  <c r="AH57" i="1"/>
  <c r="AI57" i="1"/>
  <c r="AJ57" i="1"/>
  <c r="AG56" i="1" a="1"/>
  <c r="AG56" i="1"/>
  <c r="AH56" i="1"/>
  <c r="AI56" i="1"/>
  <c r="AJ56" i="1"/>
  <c r="AJ40" i="1"/>
  <c r="AF39" i="1"/>
  <c r="AJ38" i="1"/>
  <c r="AF37" i="1"/>
  <c r="AJ36" i="1"/>
  <c r="AF35" i="1"/>
  <c r="AJ34" i="1"/>
  <c r="AF33" i="1"/>
  <c r="AJ32" i="1"/>
  <c r="F32" i="1"/>
  <c r="C34" i="1" l="1"/>
  <c r="B32" i="1"/>
  <c r="AF31" i="1"/>
  <c r="AJ30" i="1"/>
  <c r="AF29" i="1"/>
  <c r="X29" i="1"/>
  <c r="AL28" i="1"/>
  <c r="AK28" i="1"/>
  <c r="AJ28" i="1"/>
  <c r="AI28" i="1"/>
  <c r="AH28" i="1"/>
  <c r="AG28" i="1"/>
  <c r="X28" i="1"/>
  <c r="X27" i="1"/>
  <c r="AH26" i="1"/>
  <c r="C22" i="1"/>
  <c r="C21" i="1"/>
  <c r="C20" i="1"/>
  <c r="AF18" i="1"/>
  <c r="AG18" i="1"/>
  <c r="F18" i="1"/>
  <c r="C37" i="1" l="1"/>
  <c r="AF14" i="1"/>
  <c r="AG14" i="1"/>
  <c r="C13" i="1"/>
  <c r="B52" i="1" l="1"/>
  <c r="C15" i="1"/>
  <c r="C14" i="1"/>
  <c r="C10" i="1"/>
  <c r="AG9" i="1"/>
  <c r="C9" i="1"/>
  <c r="AG7" i="1"/>
  <c r="AG6" i="1"/>
  <c r="AP5" i="1"/>
  <c r="AG4" i="1"/>
  <c r="Z4" i="1"/>
  <c r="Y4" i="1"/>
  <c r="X4" i="1"/>
  <c r="T4" i="1"/>
  <c r="O4" i="1"/>
  <c r="F4" i="1"/>
  <c r="C33" i="1" l="1"/>
  <c r="C36" i="1"/>
  <c r="C35" i="1"/>
  <c r="Y27" i="1"/>
  <c r="Y28" i="1"/>
  <c r="Y29" i="1"/>
  <c r="C4" i="1"/>
  <c r="Y26" i="1"/>
  <c r="C38" i="1" l="1"/>
  <c r="C3" i="1"/>
  <c r="C32" i="1"/>
  <c r="C5" i="1" l="1"/>
  <c r="C20" i="3"/>
  <c r="C17" i="3"/>
  <c r="C16" i="3"/>
  <c r="C12" i="3"/>
  <c r="H10" i="3"/>
  <c r="G10" i="3"/>
  <c r="H9" i="3"/>
  <c r="G9" i="3"/>
  <c r="C6" i="3"/>
  <c r="AG69" i="2"/>
  <c r="AF69" i="2"/>
  <c r="AG68" i="2"/>
  <c r="AF68" i="2"/>
  <c r="AG67" i="2"/>
  <c r="AF67" i="2"/>
  <c r="AG66" i="2"/>
  <c r="AF66" i="2"/>
  <c r="AG65" i="2"/>
  <c r="AF65" i="2"/>
  <c r="AG64" i="2"/>
  <c r="AF64" i="2"/>
  <c r="AF64" i="2" a="1"/>
  <c r="AG62" i="2"/>
  <c r="AF62" i="2"/>
  <c r="AG61" i="2"/>
  <c r="AF61" i="2"/>
  <c r="AF61" i="2" a="1"/>
  <c r="AJ56" i="2"/>
  <c r="AG58" i="2"/>
  <c r="AF58" i="2"/>
  <c r="AG57" i="2"/>
  <c r="AF57" i="2"/>
  <c r="AG56" i="2"/>
  <c r="AF56" i="2"/>
  <c r="AG55" i="2"/>
  <c r="AF55" i="2"/>
  <c r="AG54" i="2"/>
  <c r="AF54" i="2"/>
  <c r="AF54" i="2" a="1"/>
  <c r="AJ52" i="2"/>
  <c r="C52" i="2"/>
  <c r="B52" i="2"/>
  <c r="C51" i="2"/>
  <c r="B51" i="2"/>
  <c r="C48" i="2"/>
  <c r="I47" i="2"/>
  <c r="C47" i="2"/>
  <c r="I46" i="2"/>
  <c r="C46" i="2"/>
  <c r="AJ45" i="2"/>
  <c r="AG51" i="2"/>
  <c r="AF51" i="2"/>
  <c r="AG50" i="2"/>
  <c r="AF50" i="2"/>
  <c r="AG49" i="2"/>
  <c r="AF49" i="2"/>
  <c r="AG48" i="2"/>
  <c r="AF48" i="2"/>
  <c r="AG47" i="2"/>
  <c r="AF47" i="2"/>
  <c r="AG46" i="2"/>
  <c r="AF46" i="2"/>
  <c r="AG45" i="2"/>
  <c r="AF45" i="2"/>
  <c r="AF45" i="2" a="1"/>
  <c r="I45" i="2"/>
  <c r="C45" i="2"/>
  <c r="AI44" i="2"/>
  <c r="I44" i="2"/>
  <c r="C44" i="2"/>
  <c r="I43" i="2"/>
  <c r="I42" i="2"/>
  <c r="I41" i="2"/>
  <c r="AJ40" i="2"/>
  <c r="I40" i="2"/>
  <c r="C40" i="2"/>
  <c r="I39" i="2"/>
  <c r="AJ38" i="2"/>
  <c r="I38" i="2"/>
  <c r="I37" i="2"/>
  <c r="AJ36" i="2"/>
  <c r="I36" i="2"/>
  <c r="I35" i="2"/>
  <c r="AJ34" i="2"/>
  <c r="I34" i="2"/>
  <c r="AJ32" i="2"/>
  <c r="F32" i="2"/>
  <c r="C32" i="2"/>
  <c r="AJ30" i="2"/>
  <c r="AL28" i="2"/>
  <c r="AK28" i="2"/>
  <c r="AJ28" i="2"/>
  <c r="AI28" i="2"/>
  <c r="AH28" i="2"/>
  <c r="AG28" i="2"/>
  <c r="AH26" i="2"/>
  <c r="Y26" i="2"/>
  <c r="C20" i="2"/>
  <c r="AG18" i="2"/>
  <c r="F18" i="2"/>
  <c r="AG14" i="2"/>
  <c r="AT27" i="2"/>
  <c r="AS27" i="2"/>
  <c r="AR27" i="2"/>
  <c r="AQ27" i="2"/>
  <c r="AP27" i="2"/>
  <c r="AO27" i="2"/>
  <c r="AN27" i="2"/>
  <c r="AT26" i="2"/>
  <c r="AS26" i="2"/>
  <c r="AR26" i="2"/>
  <c r="AQ26" i="2"/>
  <c r="AP26" i="2"/>
  <c r="AO26" i="2"/>
  <c r="AN26" i="2"/>
  <c r="AT25" i="2"/>
  <c r="AS25" i="2"/>
  <c r="AR25" i="2"/>
  <c r="AQ25" i="2"/>
  <c r="AP25" i="2"/>
  <c r="AO25" i="2"/>
  <c r="AN25" i="2"/>
  <c r="AT24" i="2"/>
  <c r="AS24" i="2"/>
  <c r="AR24" i="2"/>
  <c r="AQ24" i="2"/>
  <c r="AP24" i="2"/>
  <c r="AO24" i="2"/>
  <c r="AN24" i="2"/>
  <c r="AT23" i="2"/>
  <c r="AS23" i="2"/>
  <c r="AR23" i="2"/>
  <c r="AQ23" i="2"/>
  <c r="AP23" i="2"/>
  <c r="AO23" i="2"/>
  <c r="AN23" i="2"/>
  <c r="AT22" i="2"/>
  <c r="AS22" i="2"/>
  <c r="AR22" i="2"/>
  <c r="AQ22" i="2"/>
  <c r="AP22" i="2"/>
  <c r="AO22" i="2"/>
  <c r="AN22" i="2"/>
  <c r="AT21" i="2"/>
  <c r="AS21" i="2"/>
  <c r="AR21" i="2"/>
  <c r="AQ21" i="2"/>
  <c r="AP21" i="2"/>
  <c r="AO21" i="2"/>
  <c r="AN21" i="2"/>
  <c r="AT20" i="2"/>
  <c r="AS20" i="2"/>
  <c r="AR20" i="2"/>
  <c r="AQ20" i="2"/>
  <c r="AP20" i="2"/>
  <c r="AO20" i="2"/>
  <c r="AN20" i="2"/>
  <c r="AT19" i="2"/>
  <c r="AS19" i="2"/>
  <c r="AR19" i="2"/>
  <c r="AQ19" i="2"/>
  <c r="AP19" i="2"/>
  <c r="AO19" i="2"/>
  <c r="AN19" i="2"/>
  <c r="AT18" i="2"/>
  <c r="AS18" i="2"/>
  <c r="AR18" i="2"/>
  <c r="AQ18" i="2"/>
  <c r="AP18" i="2"/>
  <c r="AO18" i="2"/>
  <c r="AN18" i="2"/>
  <c r="AT17" i="2"/>
  <c r="AS17" i="2"/>
  <c r="AR17" i="2"/>
  <c r="AQ17" i="2"/>
  <c r="AP17" i="2"/>
  <c r="AO17" i="2"/>
  <c r="AN17" i="2"/>
  <c r="AT16" i="2"/>
  <c r="AS16" i="2"/>
  <c r="AR16" i="2"/>
  <c r="AQ16" i="2"/>
  <c r="AP16" i="2"/>
  <c r="AO16" i="2"/>
  <c r="AN16" i="2"/>
  <c r="AT15" i="2"/>
  <c r="AS15" i="2"/>
  <c r="AR15" i="2"/>
  <c r="AQ15" i="2"/>
  <c r="AP15" i="2"/>
  <c r="AO15" i="2"/>
  <c r="AN15" i="2"/>
  <c r="AT14" i="2"/>
  <c r="AS14" i="2"/>
  <c r="AR14" i="2"/>
  <c r="AQ14" i="2"/>
  <c r="AP14" i="2"/>
  <c r="AO14" i="2"/>
  <c r="AN14" i="2"/>
  <c r="AT13" i="2"/>
  <c r="AS13" i="2"/>
  <c r="AR13" i="2"/>
  <c r="AQ13" i="2"/>
  <c r="AP13" i="2"/>
  <c r="AO13" i="2"/>
  <c r="AN13" i="2"/>
  <c r="AT12" i="2"/>
  <c r="AS12" i="2"/>
  <c r="AR12" i="2"/>
  <c r="AQ12" i="2"/>
  <c r="AP12" i="2"/>
  <c r="AO12" i="2"/>
  <c r="AN12" i="2"/>
  <c r="AT11" i="2"/>
  <c r="AS11" i="2"/>
  <c r="AR11" i="2"/>
  <c r="AQ11" i="2"/>
  <c r="AP11" i="2"/>
  <c r="AO11" i="2"/>
  <c r="AN11" i="2"/>
  <c r="AN11" i="2" a="1"/>
  <c r="C9" i="2"/>
  <c r="AO8" i="2"/>
  <c r="AO4" i="2"/>
  <c r="AG4" i="2"/>
  <c r="Z4" i="2"/>
  <c r="Y4" i="2"/>
  <c r="X4" i="2"/>
  <c r="T4" i="2"/>
  <c r="O4" i="2"/>
  <c r="F4" i="2"/>
  <c r="C2" i="2"/>
  <c r="E10" i="3"/>
  <c r="E9" i="3"/>
  <c r="AJ69" i="2"/>
  <c r="AI69" i="2"/>
  <c r="AJ68" i="2"/>
  <c r="AI68" i="2"/>
  <c r="AJ67" i="2"/>
  <c r="AI67" i="2"/>
  <c r="AJ66" i="2"/>
  <c r="AI66" i="2"/>
  <c r="AJ65" i="2"/>
  <c r="AI65" i="2"/>
  <c r="AI63" i="2"/>
  <c r="AJ62" i="2"/>
  <c r="AI62" i="2"/>
  <c r="AI61" i="2"/>
  <c r="AF60" i="2"/>
  <c r="AJ59" i="2"/>
  <c r="AJ58" i="2"/>
  <c r="AI58" i="2"/>
  <c r="AJ57" i="2"/>
  <c r="AI57" i="2"/>
  <c r="AI56" i="2"/>
  <c r="AJ55" i="2"/>
  <c r="AI55" i="2"/>
  <c r="AI54" i="2"/>
  <c r="AF53" i="2"/>
  <c r="AJ51" i="2"/>
  <c r="AI51" i="2"/>
  <c r="AI50" i="2"/>
  <c r="AJ49" i="2"/>
  <c r="AI49" i="2"/>
  <c r="AI48" i="2"/>
  <c r="AJ47" i="2"/>
  <c r="AI47" i="2"/>
  <c r="P47" i="2"/>
  <c r="N47" i="2"/>
  <c r="AI46" i="2"/>
  <c r="P46" i="2"/>
  <c r="N46" i="2"/>
  <c r="AI45" i="2"/>
  <c r="P45" i="2"/>
  <c r="N45" i="2"/>
  <c r="AF44" i="2"/>
  <c r="P44" i="2"/>
  <c r="N44" i="2"/>
  <c r="P43" i="2"/>
  <c r="N43" i="2"/>
  <c r="P42" i="2"/>
  <c r="N42" i="2"/>
  <c r="C42" i="2"/>
  <c r="P41" i="2"/>
  <c r="N41" i="2"/>
  <c r="P40" i="2"/>
  <c r="N40" i="2"/>
  <c r="AF39" i="2"/>
  <c r="P39" i="2"/>
  <c r="N39" i="2"/>
  <c r="P38" i="2"/>
  <c r="N38" i="2"/>
  <c r="AF37" i="2"/>
  <c r="P37" i="2"/>
  <c r="N37" i="2"/>
  <c r="P36" i="2"/>
  <c r="N36" i="2"/>
  <c r="AF35" i="2"/>
  <c r="P35" i="2"/>
  <c r="N35" i="2"/>
  <c r="C35" i="2"/>
  <c r="P34" i="2"/>
  <c r="N34" i="2"/>
  <c r="C34" i="2"/>
  <c r="AF33" i="2"/>
  <c r="P33" i="2"/>
  <c r="O33" i="2"/>
  <c r="N33" i="2"/>
  <c r="C33" i="2"/>
  <c r="B32" i="2"/>
  <c r="AF31" i="2"/>
  <c r="AF29" i="2"/>
  <c r="Y29" i="2"/>
  <c r="X29" i="2"/>
  <c r="Y28" i="2"/>
  <c r="X28" i="2"/>
  <c r="Y27" i="2"/>
  <c r="X27" i="2"/>
  <c r="C22" i="2"/>
  <c r="C21" i="2"/>
  <c r="AF18" i="2"/>
  <c r="C15" i="2"/>
  <c r="AF14" i="2"/>
  <c r="C14" i="2"/>
  <c r="C13" i="2"/>
  <c r="C10" i="2"/>
  <c r="AG9" i="2"/>
  <c r="AG7" i="2"/>
  <c r="AG6" i="2"/>
  <c r="C5" i="2"/>
  <c r="C4" i="2"/>
  <c r="C3" i="2"/>
  <c r="C2" i="1"/>
  <c r="C44" i="1"/>
  <c r="AP4" i="1" l="1"/>
  <c r="C42" i="1"/>
  <c r="AP6" i="1"/>
  <c r="AO12" i="1" s="1"/>
  <c r="AO13" i="1" s="1" a="1"/>
  <c r="C40" i="1"/>
  <c r="C45" i="1" s="1"/>
  <c r="C46" i="1" s="1"/>
  <c r="C47" i="1"/>
  <c r="C48" i="1" s="1"/>
  <c r="AG48" i="1"/>
  <c r="AF49" i="1" s="1" a="1"/>
  <c r="C52" i="1"/>
  <c r="C53" i="1"/>
  <c r="AJ50" i="1" l="1"/>
  <c r="AI50" i="1"/>
  <c r="AH50" i="1"/>
  <c r="AG50" i="1"/>
  <c r="AK49" i="1"/>
  <c r="AI49" i="1"/>
  <c r="AF49" i="1"/>
  <c r="AF53" i="1" s="1" a="1"/>
  <c r="AK50" i="1"/>
  <c r="AF50" i="1"/>
  <c r="AJ49" i="1"/>
  <c r="AG49" i="1"/>
  <c r="AH49" i="1"/>
  <c r="AP14" i="1"/>
  <c r="AO14" i="1"/>
  <c r="AP13" i="1"/>
  <c r="AO13" i="1"/>
  <c r="AO16" i="1" a="1"/>
  <c r="AG55" i="1" a="1"/>
  <c r="AG54" i="1" a="1"/>
  <c r="AG52" i="1" a="1"/>
  <c r="AG53" i="1" l="1"/>
  <c r="AJ53" i="1"/>
  <c r="AH53" i="1"/>
  <c r="AI53" i="1"/>
  <c r="AJ52" i="1"/>
  <c r="AI52" i="1"/>
  <c r="AH52" i="1"/>
  <c r="AG52" i="1"/>
  <c r="AJ54" i="1"/>
  <c r="AI54" i="1"/>
  <c r="AH54" i="1"/>
  <c r="AG54" i="1"/>
  <c r="AJ55" i="1"/>
  <c r="AI55" i="1"/>
  <c r="AH55" i="1"/>
  <c r="AG55" i="1"/>
  <c r="AP20" i="1"/>
  <c r="AO20" i="1"/>
  <c r="AR91" i="1" s="1"/>
  <c r="AP22" i="1"/>
  <c r="AO21" i="1"/>
  <c r="AR110" i="1" s="1"/>
  <c r="AO22" i="1"/>
  <c r="AR126" i="1" s="1"/>
  <c r="AP21" i="1"/>
  <c r="AP19" i="1"/>
  <c r="AO19" i="1"/>
  <c r="AR71" i="1" s="1"/>
  <c r="AO18" i="1"/>
  <c r="AR50" i="1" s="1"/>
  <c r="AP18" i="1"/>
  <c r="AO16" i="1"/>
  <c r="AR2" i="1" s="1"/>
  <c r="AO17" i="1"/>
  <c r="AR30" i="1" s="1"/>
  <c r="AP17" i="1"/>
  <c r="AP16" i="1"/>
  <c r="AF55" i="1"/>
  <c r="AF53" i="1"/>
  <c r="AF58" i="1"/>
  <c r="AF56" i="1"/>
  <c r="AF57" i="1"/>
  <c r="AF54" i="1"/>
  <c r="AK55" i="1" a="1"/>
  <c r="AR92" i="1" a="1"/>
  <c r="AR111" i="1" a="1"/>
  <c r="AR72" i="1" a="1"/>
  <c r="AR51" i="1" a="1"/>
  <c r="AK52" i="1" a="1"/>
  <c r="AK54" i="1" a="1"/>
  <c r="AR127" i="1" a="1"/>
  <c r="AR31" i="1" a="1"/>
  <c r="AR3" i="1" a="1"/>
  <c r="AU28" i="1" l="1"/>
  <c r="AR28" i="1"/>
  <c r="AX28" i="1"/>
  <c r="AW28" i="1"/>
  <c r="AT28" i="1"/>
  <c r="AV28" i="1"/>
  <c r="AS28" i="1"/>
  <c r="AT27" i="1"/>
  <c r="AX26" i="1"/>
  <c r="AT26" i="1"/>
  <c r="AR26" i="1"/>
  <c r="AX27" i="1"/>
  <c r="AW27" i="1"/>
  <c r="AV27" i="1"/>
  <c r="AU27" i="1"/>
  <c r="AR27" i="1"/>
  <c r="AS27" i="1"/>
  <c r="AW26" i="1"/>
  <c r="AV26" i="1"/>
  <c r="AS26" i="1"/>
  <c r="AU26" i="1"/>
  <c r="AX25" i="1"/>
  <c r="AU22" i="1"/>
  <c r="AW25" i="1"/>
  <c r="AT22" i="1"/>
  <c r="AV25" i="1"/>
  <c r="AS22" i="1"/>
  <c r="AR22" i="1"/>
  <c r="AT25" i="1"/>
  <c r="AS25" i="1"/>
  <c r="AW20" i="1"/>
  <c r="AR23" i="1"/>
  <c r="AW22" i="1"/>
  <c r="AR20" i="1"/>
  <c r="AU25" i="1"/>
  <c r="AX24" i="1"/>
  <c r="AX21" i="1"/>
  <c r="AW21" i="1"/>
  <c r="AV24" i="1"/>
  <c r="AU21" i="1"/>
  <c r="AS24" i="1"/>
  <c r="AX23" i="1"/>
  <c r="AR25" i="1"/>
  <c r="AW24" i="1"/>
  <c r="AV21" i="1"/>
  <c r="AU24" i="1"/>
  <c r="AT21" i="1"/>
  <c r="AS21" i="1"/>
  <c r="AR24" i="1"/>
  <c r="AT23" i="1"/>
  <c r="AS23" i="1"/>
  <c r="AU20" i="1"/>
  <c r="AT20" i="1"/>
  <c r="AS20" i="1"/>
  <c r="AT24" i="1"/>
  <c r="AR21" i="1"/>
  <c r="AW23" i="1"/>
  <c r="AU23" i="1"/>
  <c r="AX20" i="1"/>
  <c r="AV20" i="1"/>
  <c r="AX22" i="1"/>
  <c r="AV22" i="1"/>
  <c r="AV23" i="1"/>
  <c r="AX19" i="1"/>
  <c r="AW19" i="1"/>
  <c r="AV19" i="1"/>
  <c r="AU19" i="1"/>
  <c r="AT19" i="1"/>
  <c r="AS19" i="1"/>
  <c r="AR19" i="1"/>
  <c r="AX18" i="1"/>
  <c r="AW18" i="1"/>
  <c r="AV18" i="1"/>
  <c r="AS18" i="1"/>
  <c r="AR18" i="1"/>
  <c r="AU18" i="1"/>
  <c r="AT18" i="1"/>
  <c r="AS17" i="1"/>
  <c r="AX16" i="1"/>
  <c r="AU16" i="1"/>
  <c r="AX17" i="1"/>
  <c r="AW17" i="1"/>
  <c r="AV17" i="1"/>
  <c r="AU17" i="1"/>
  <c r="AT17" i="1"/>
  <c r="AR17" i="1"/>
  <c r="AV16" i="1"/>
  <c r="AT16" i="1"/>
  <c r="AR16" i="1"/>
  <c r="AW16" i="1"/>
  <c r="AS16" i="1"/>
  <c r="AX15" i="1"/>
  <c r="AW15" i="1"/>
  <c r="AV15" i="1"/>
  <c r="AU15" i="1"/>
  <c r="AT15" i="1"/>
  <c r="AS15" i="1"/>
  <c r="AR15" i="1"/>
  <c r="AX14" i="1"/>
  <c r="AW14" i="1"/>
  <c r="AV14" i="1"/>
  <c r="AU14" i="1"/>
  <c r="AT14" i="1"/>
  <c r="AR14" i="1"/>
  <c r="AS14" i="1"/>
  <c r="AX13" i="1"/>
  <c r="AW13" i="1"/>
  <c r="AV13" i="1"/>
  <c r="AU13" i="1"/>
  <c r="AT13" i="1"/>
  <c r="AR13" i="1"/>
  <c r="AS13" i="1"/>
  <c r="AX12" i="1"/>
  <c r="AW12" i="1"/>
  <c r="AV12" i="1"/>
  <c r="AU12" i="1"/>
  <c r="AS12" i="1"/>
  <c r="AR12" i="1"/>
  <c r="AT12" i="1"/>
  <c r="AR9" i="1"/>
  <c r="AU11" i="1"/>
  <c r="AV10" i="1"/>
  <c r="AS10" i="1"/>
  <c r="AX9" i="1"/>
  <c r="AU9" i="1"/>
  <c r="AX11" i="1"/>
  <c r="AV11" i="1"/>
  <c r="AS11" i="1"/>
  <c r="AU10" i="1"/>
  <c r="AW11" i="1"/>
  <c r="AT11" i="1"/>
  <c r="AR11" i="1"/>
  <c r="AW10" i="1"/>
  <c r="AR10" i="1"/>
  <c r="AV9" i="1"/>
  <c r="AS9" i="1"/>
  <c r="AX10" i="1"/>
  <c r="AT10" i="1"/>
  <c r="AW9" i="1"/>
  <c r="AT9" i="1"/>
  <c r="AX8" i="1"/>
  <c r="AW8" i="1"/>
  <c r="AV8" i="1"/>
  <c r="AU8" i="1"/>
  <c r="AT8" i="1"/>
  <c r="AS8" i="1"/>
  <c r="AX7" i="1"/>
  <c r="AW7" i="1"/>
  <c r="AV7" i="1"/>
  <c r="AU7" i="1"/>
  <c r="AS7" i="1"/>
  <c r="AR8" i="1"/>
  <c r="AT7" i="1"/>
  <c r="AR7" i="1"/>
  <c r="AX6" i="1"/>
  <c r="AW6" i="1"/>
  <c r="AV6" i="1"/>
  <c r="AU6" i="1"/>
  <c r="AT6" i="1"/>
  <c r="AS6" i="1"/>
  <c r="AR6" i="1"/>
  <c r="AV5" i="1"/>
  <c r="AT5" i="1"/>
  <c r="AX5" i="1"/>
  <c r="AW5" i="1"/>
  <c r="AU5" i="1"/>
  <c r="AS5" i="1"/>
  <c r="AR5" i="1"/>
  <c r="AX4" i="1"/>
  <c r="AW4" i="1"/>
  <c r="AU4" i="1"/>
  <c r="AT4" i="1"/>
  <c r="AR4" i="1"/>
  <c r="AV4" i="1"/>
  <c r="AS4" i="1"/>
  <c r="AX3" i="1"/>
  <c r="AW3" i="1"/>
  <c r="AT3" i="1"/>
  <c r="AR3" i="1"/>
  <c r="AU3" i="1"/>
  <c r="AS3" i="1"/>
  <c r="AV3" i="1"/>
  <c r="AX48" i="1"/>
  <c r="AW48" i="1"/>
  <c r="AV48" i="1"/>
  <c r="AU48" i="1"/>
  <c r="AT48" i="1"/>
  <c r="AS48" i="1"/>
  <c r="AR48" i="1"/>
  <c r="AX47" i="1"/>
  <c r="AW47" i="1"/>
  <c r="AV47" i="1"/>
  <c r="AU47" i="1"/>
  <c r="AS47" i="1"/>
  <c r="AR47" i="1"/>
  <c r="AT47" i="1"/>
  <c r="AX46" i="1"/>
  <c r="AW46" i="1"/>
  <c r="AV46" i="1"/>
  <c r="AU46" i="1"/>
  <c r="AT46" i="1"/>
  <c r="AS46" i="1"/>
  <c r="AR46" i="1"/>
  <c r="AX45" i="1"/>
  <c r="AW45" i="1"/>
  <c r="AV45" i="1"/>
  <c r="AU45" i="1"/>
  <c r="AT45" i="1"/>
  <c r="AS45" i="1"/>
  <c r="AR45" i="1"/>
  <c r="AX44" i="1"/>
  <c r="AW44" i="1"/>
  <c r="AV44" i="1"/>
  <c r="AU44" i="1"/>
  <c r="AT44" i="1"/>
  <c r="AS44" i="1"/>
  <c r="AR44" i="1"/>
  <c r="AX43" i="1"/>
  <c r="AV40" i="1"/>
  <c r="AW43" i="1"/>
  <c r="AU40" i="1"/>
  <c r="AV43" i="1"/>
  <c r="AT40" i="1"/>
  <c r="AU43" i="1"/>
  <c r="AT43" i="1"/>
  <c r="AR40" i="1"/>
  <c r="AW42" i="1"/>
  <c r="AU42" i="1"/>
  <c r="AS42" i="1"/>
  <c r="AR41" i="1"/>
  <c r="AW40" i="1"/>
  <c r="AS40" i="1"/>
  <c r="AS43" i="1"/>
  <c r="AX42" i="1"/>
  <c r="AV42" i="1"/>
  <c r="AT42" i="1"/>
  <c r="AW41" i="1"/>
  <c r="AS41" i="1"/>
  <c r="AR43" i="1"/>
  <c r="AR42" i="1"/>
  <c r="AX41" i="1"/>
  <c r="AV41" i="1"/>
  <c r="AT41" i="1"/>
  <c r="AX40" i="1"/>
  <c r="AU41" i="1"/>
  <c r="AX39" i="1"/>
  <c r="AV39" i="1"/>
  <c r="AU39" i="1"/>
  <c r="AT39" i="1"/>
  <c r="AS39" i="1"/>
  <c r="AX38" i="1"/>
  <c r="AW38" i="1"/>
  <c r="AV38" i="1"/>
  <c r="AU38" i="1"/>
  <c r="AT38" i="1"/>
  <c r="AS38" i="1"/>
  <c r="AR38" i="1"/>
  <c r="AW39" i="1"/>
  <c r="AR39" i="1"/>
  <c r="AX37" i="1"/>
  <c r="AW37" i="1"/>
  <c r="AV37" i="1"/>
  <c r="AU37" i="1"/>
  <c r="AS37" i="1"/>
  <c r="AR37" i="1"/>
  <c r="AW36" i="1"/>
  <c r="AV36" i="1"/>
  <c r="AU36" i="1"/>
  <c r="AS36" i="1"/>
  <c r="AR36" i="1"/>
  <c r="AT37" i="1"/>
  <c r="AX36" i="1"/>
  <c r="AT36" i="1"/>
  <c r="AX35" i="1"/>
  <c r="AW35" i="1"/>
  <c r="AV35" i="1"/>
  <c r="AU35" i="1"/>
  <c r="AT35" i="1"/>
  <c r="AR35" i="1"/>
  <c r="AS35" i="1"/>
  <c r="AS34" i="1"/>
  <c r="AR34" i="1"/>
  <c r="AX34" i="1"/>
  <c r="AW34" i="1"/>
  <c r="AV34" i="1"/>
  <c r="AU34" i="1"/>
  <c r="AT34" i="1"/>
  <c r="AX33" i="1"/>
  <c r="AW33" i="1"/>
  <c r="AV33" i="1"/>
  <c r="AU33" i="1"/>
  <c r="AT33" i="1"/>
  <c r="AR33" i="1"/>
  <c r="AS33" i="1"/>
  <c r="AX32" i="1"/>
  <c r="AV32" i="1"/>
  <c r="AU32" i="1"/>
  <c r="AT32" i="1"/>
  <c r="AS32" i="1"/>
  <c r="AW32" i="1"/>
  <c r="AR32" i="1"/>
  <c r="AX31" i="1"/>
  <c r="AW31" i="1"/>
  <c r="AV31" i="1"/>
  <c r="AU31" i="1"/>
  <c r="AT31" i="1"/>
  <c r="AS31" i="1"/>
  <c r="AR31" i="1"/>
  <c r="AW128" i="1"/>
  <c r="AV128" i="1"/>
  <c r="AU128" i="1"/>
  <c r="AT128" i="1"/>
  <c r="AS128" i="1"/>
  <c r="AR128" i="1"/>
  <c r="AX127" i="1"/>
  <c r="AW127" i="1"/>
  <c r="AV127" i="1"/>
  <c r="AX130" i="1"/>
  <c r="AU127" i="1"/>
  <c r="AW130" i="1"/>
  <c r="AT127" i="1"/>
  <c r="AV130" i="1"/>
  <c r="AS127" i="1"/>
  <c r="AU130" i="1"/>
  <c r="AR127" i="1"/>
  <c r="AT130" i="1"/>
  <c r="AS130" i="1"/>
  <c r="AR130" i="1"/>
  <c r="AX129" i="1"/>
  <c r="AW129" i="1"/>
  <c r="AV129" i="1"/>
  <c r="AU129" i="1"/>
  <c r="AT129" i="1"/>
  <c r="AS129" i="1"/>
  <c r="AR129" i="1"/>
  <c r="AX128" i="1"/>
  <c r="AL54" i="1"/>
  <c r="AK54" i="1"/>
  <c r="AK53" i="1"/>
  <c r="AL53" i="1"/>
  <c r="AL52" i="1"/>
  <c r="AK52" i="1"/>
  <c r="AV66" i="1"/>
  <c r="AS63" i="1"/>
  <c r="AW59" i="1"/>
  <c r="AV56" i="1"/>
  <c r="AV53" i="1"/>
  <c r="AX69" i="1"/>
  <c r="AU66" i="1"/>
  <c r="AR63" i="1"/>
  <c r="AV59" i="1"/>
  <c r="AU56" i="1"/>
  <c r="AU53" i="1"/>
  <c r="AW69" i="1"/>
  <c r="AT66" i="1"/>
  <c r="AX62" i="1"/>
  <c r="AU59" i="1"/>
  <c r="AT56" i="1"/>
  <c r="AT53" i="1"/>
  <c r="AV69" i="1"/>
  <c r="AS66" i="1"/>
  <c r="AW62" i="1"/>
  <c r="AT59" i="1"/>
  <c r="AS56" i="1"/>
  <c r="AS53" i="1"/>
  <c r="AU69" i="1"/>
  <c r="AR66" i="1"/>
  <c r="AV62" i="1"/>
  <c r="AS59" i="1"/>
  <c r="AR56" i="1"/>
  <c r="AR53" i="1"/>
  <c r="AT69" i="1"/>
  <c r="AX65" i="1"/>
  <c r="AU62" i="1"/>
  <c r="AR59" i="1"/>
  <c r="AW65" i="1"/>
  <c r="AX58" i="1"/>
  <c r="AV65" i="1"/>
  <c r="AW58" i="1"/>
  <c r="AW54" i="1"/>
  <c r="AR62" i="1"/>
  <c r="AV58" i="1"/>
  <c r="AU58" i="1"/>
  <c r="AV68" i="1"/>
  <c r="AT54" i="1"/>
  <c r="AV67" i="1"/>
  <c r="AU55" i="1"/>
  <c r="AV54" i="1"/>
  <c r="AT65" i="1"/>
  <c r="AW61" i="1"/>
  <c r="AV57" i="1"/>
  <c r="AS64" i="1"/>
  <c r="AT62" i="1"/>
  <c r="AU65" i="1"/>
  <c r="AX61" i="1"/>
  <c r="AS62" i="1"/>
  <c r="AT58" i="1"/>
  <c r="AX60" i="1"/>
  <c r="AV55" i="1"/>
  <c r="AU57" i="1"/>
  <c r="AR69" i="1"/>
  <c r="AX68" i="1"/>
  <c r="AU68" i="1"/>
  <c r="AR65" i="1"/>
  <c r="AV61" i="1"/>
  <c r="AS58" i="1"/>
  <c r="AS54" i="1"/>
  <c r="AT68" i="1"/>
  <c r="AX64" i="1"/>
  <c r="AU61" i="1"/>
  <c r="AR58" i="1"/>
  <c r="AR54" i="1"/>
  <c r="AS68" i="1"/>
  <c r="AW64" i="1"/>
  <c r="AT61" i="1"/>
  <c r="AR68" i="1"/>
  <c r="AV64" i="1"/>
  <c r="AS61" i="1"/>
  <c r="AX57" i="1"/>
  <c r="AX55" i="1"/>
  <c r="AX67" i="1"/>
  <c r="AU64" i="1"/>
  <c r="AR61" i="1"/>
  <c r="AW57" i="1"/>
  <c r="AW55" i="1"/>
  <c r="AW67" i="1"/>
  <c r="AT64" i="1"/>
  <c r="AW60" i="1"/>
  <c r="AU67" i="1"/>
  <c r="AR64" i="1"/>
  <c r="AV60" i="1"/>
  <c r="AT57" i="1"/>
  <c r="AT55" i="1"/>
  <c r="AT67" i="1"/>
  <c r="AX63" i="1"/>
  <c r="AU60" i="1"/>
  <c r="AS57" i="1"/>
  <c r="AS55" i="1"/>
  <c r="AS67" i="1"/>
  <c r="AW63" i="1"/>
  <c r="AT60" i="1"/>
  <c r="AR57" i="1"/>
  <c r="AR55" i="1"/>
  <c r="AR67" i="1"/>
  <c r="AV63" i="1"/>
  <c r="AS60" i="1"/>
  <c r="AX66" i="1"/>
  <c r="AU63" i="1"/>
  <c r="AR60" i="1"/>
  <c r="AX56" i="1"/>
  <c r="AX53" i="1"/>
  <c r="AW66" i="1"/>
  <c r="AT63" i="1"/>
  <c r="AX59" i="1"/>
  <c r="AW56" i="1"/>
  <c r="AW53" i="1"/>
  <c r="AS69" i="1"/>
  <c r="AX54" i="1"/>
  <c r="AW68" i="1"/>
  <c r="AU54" i="1"/>
  <c r="AS65" i="1"/>
  <c r="AX52" i="1"/>
  <c r="AW52" i="1"/>
  <c r="AV52" i="1"/>
  <c r="AT52" i="1"/>
  <c r="AR52" i="1"/>
  <c r="AU52" i="1"/>
  <c r="AS52" i="1"/>
  <c r="AT51" i="1"/>
  <c r="AR51" i="1"/>
  <c r="AX51" i="1"/>
  <c r="AW51" i="1"/>
  <c r="AV51" i="1"/>
  <c r="AU51" i="1"/>
  <c r="AS51" i="1"/>
  <c r="AS89" i="1"/>
  <c r="AW78" i="1"/>
  <c r="AX88" i="1"/>
  <c r="AU78" i="1"/>
  <c r="AV88" i="1"/>
  <c r="AX74" i="1"/>
  <c r="AX89" i="1"/>
  <c r="AU86" i="1"/>
  <c r="AR83" i="1"/>
  <c r="AS76" i="1"/>
  <c r="AU89" i="1"/>
  <c r="AW75" i="1"/>
  <c r="AU82" i="1"/>
  <c r="AS72" i="1"/>
  <c r="AX78" i="1"/>
  <c r="AR72" i="1"/>
  <c r="AV85" i="1"/>
  <c r="AU85" i="1"/>
  <c r="AX81" i="1"/>
  <c r="AW81" i="1"/>
  <c r="AW89" i="1"/>
  <c r="AT86" i="1"/>
  <c r="AX82" i="1"/>
  <c r="AU79" i="1"/>
  <c r="AR76" i="1"/>
  <c r="AV72" i="1"/>
  <c r="AV89" i="1"/>
  <c r="AS86" i="1"/>
  <c r="AW82" i="1"/>
  <c r="AT79" i="1"/>
  <c r="AU72" i="1"/>
  <c r="AV82" i="1"/>
  <c r="AT72" i="1"/>
  <c r="AX85" i="1"/>
  <c r="AV75" i="1"/>
  <c r="AT82" i="1"/>
  <c r="AU75" i="1"/>
  <c r="AS82" i="1"/>
  <c r="AT75" i="1"/>
  <c r="AR82" i="1"/>
  <c r="AS75" i="1"/>
  <c r="AT85" i="1"/>
  <c r="AR75" i="1"/>
  <c r="AT78" i="1"/>
  <c r="AU88" i="1"/>
  <c r="AR85" i="1"/>
  <c r="AV81" i="1"/>
  <c r="AS78" i="1"/>
  <c r="AW74" i="1"/>
  <c r="AT88" i="1"/>
  <c r="AX84" i="1"/>
  <c r="AU81" i="1"/>
  <c r="AR78" i="1"/>
  <c r="AV74" i="1"/>
  <c r="AS88" i="1"/>
  <c r="AW84" i="1"/>
  <c r="AT81" i="1"/>
  <c r="AX77" i="1"/>
  <c r="AU74" i="1"/>
  <c r="AR88" i="1"/>
  <c r="AV84" i="1"/>
  <c r="AS81" i="1"/>
  <c r="AW77" i="1"/>
  <c r="AT74" i="1"/>
  <c r="AX87" i="1"/>
  <c r="AU84" i="1"/>
  <c r="AR81" i="1"/>
  <c r="AV77" i="1"/>
  <c r="AS74" i="1"/>
  <c r="AW87" i="1"/>
  <c r="AT84" i="1"/>
  <c r="AX80" i="1"/>
  <c r="AU77" i="1"/>
  <c r="AR74" i="1"/>
  <c r="AV87" i="1"/>
  <c r="AS84" i="1"/>
  <c r="AW80" i="1"/>
  <c r="AT77" i="1"/>
  <c r="AX73" i="1"/>
  <c r="AU87" i="1"/>
  <c r="AR84" i="1"/>
  <c r="AV80" i="1"/>
  <c r="AS77" i="1"/>
  <c r="AW73" i="1"/>
  <c r="AT87" i="1"/>
  <c r="AX83" i="1"/>
  <c r="AU80" i="1"/>
  <c r="AR77" i="1"/>
  <c r="AV73" i="1"/>
  <c r="AS87" i="1"/>
  <c r="AW83" i="1"/>
  <c r="AT80" i="1"/>
  <c r="AX76" i="1"/>
  <c r="AU73" i="1"/>
  <c r="AR87" i="1"/>
  <c r="AV83" i="1"/>
  <c r="AS80" i="1"/>
  <c r="AW76" i="1"/>
  <c r="AT73" i="1"/>
  <c r="AX86" i="1"/>
  <c r="AU83" i="1"/>
  <c r="AR80" i="1"/>
  <c r="AV76" i="1"/>
  <c r="AS73" i="1"/>
  <c r="AW86" i="1"/>
  <c r="AT83" i="1"/>
  <c r="AX79" i="1"/>
  <c r="AU76" i="1"/>
  <c r="AR73" i="1"/>
  <c r="AV86" i="1"/>
  <c r="AS83" i="1"/>
  <c r="AW79" i="1"/>
  <c r="AT76" i="1"/>
  <c r="AX72" i="1"/>
  <c r="AV79" i="1"/>
  <c r="AW72" i="1"/>
  <c r="AX75" i="1"/>
  <c r="AR86" i="1"/>
  <c r="AS79" i="1"/>
  <c r="AT89" i="1"/>
  <c r="AR79" i="1"/>
  <c r="AW85" i="1"/>
  <c r="AR89" i="1"/>
  <c r="AV78" i="1"/>
  <c r="AW88" i="1"/>
  <c r="AS85" i="1"/>
  <c r="AV121" i="1"/>
  <c r="AS118" i="1"/>
  <c r="AW114" i="1"/>
  <c r="AT111" i="1"/>
  <c r="AX124" i="1"/>
  <c r="AU121" i="1"/>
  <c r="AR118" i="1"/>
  <c r="AV114" i="1"/>
  <c r="AS111" i="1"/>
  <c r="AW124" i="1"/>
  <c r="AT121" i="1"/>
  <c r="AX117" i="1"/>
  <c r="AU114" i="1"/>
  <c r="AR111" i="1"/>
  <c r="AV124" i="1"/>
  <c r="AS121" i="1"/>
  <c r="AW117" i="1"/>
  <c r="AT114" i="1"/>
  <c r="AU124" i="1"/>
  <c r="AR121" i="1"/>
  <c r="AV117" i="1"/>
  <c r="AS114" i="1"/>
  <c r="AT124" i="1"/>
  <c r="AX120" i="1"/>
  <c r="AU117" i="1"/>
  <c r="AR114" i="1"/>
  <c r="AS124" i="1"/>
  <c r="AW120" i="1"/>
  <c r="AT117" i="1"/>
  <c r="AX113" i="1"/>
  <c r="AR124" i="1"/>
  <c r="AV120" i="1"/>
  <c r="AS117" i="1"/>
  <c r="AW113" i="1"/>
  <c r="AX123" i="1"/>
  <c r="AU120" i="1"/>
  <c r="AR117" i="1"/>
  <c r="AV113" i="1"/>
  <c r="AW123" i="1"/>
  <c r="AT120" i="1"/>
  <c r="AX116" i="1"/>
  <c r="AU113" i="1"/>
  <c r="AV123" i="1"/>
  <c r="AS120" i="1"/>
  <c r="AW116" i="1"/>
  <c r="AT113" i="1"/>
  <c r="AU123" i="1"/>
  <c r="AR120" i="1"/>
  <c r="AV116" i="1"/>
  <c r="AS113" i="1"/>
  <c r="AV111" i="1"/>
  <c r="AW121" i="1"/>
  <c r="AT123" i="1"/>
  <c r="AX119" i="1"/>
  <c r="AU116" i="1"/>
  <c r="AR113" i="1"/>
  <c r="AS123" i="1"/>
  <c r="AW119" i="1"/>
  <c r="AT116" i="1"/>
  <c r="AX112" i="1"/>
  <c r="AR123" i="1"/>
  <c r="AV119" i="1"/>
  <c r="AS116" i="1"/>
  <c r="AW112" i="1"/>
  <c r="AX122" i="1"/>
  <c r="AU119" i="1"/>
  <c r="AR116" i="1"/>
  <c r="AV112" i="1"/>
  <c r="AW122" i="1"/>
  <c r="AT119" i="1"/>
  <c r="AX115" i="1"/>
  <c r="AU112" i="1"/>
  <c r="AV122" i="1"/>
  <c r="AS119" i="1"/>
  <c r="AW115" i="1"/>
  <c r="AT112" i="1"/>
  <c r="AU122" i="1"/>
  <c r="AR119" i="1"/>
  <c r="AV115" i="1"/>
  <c r="AS112" i="1"/>
  <c r="AT122" i="1"/>
  <c r="AX118" i="1"/>
  <c r="AU115" i="1"/>
  <c r="AR112" i="1"/>
  <c r="AS122" i="1"/>
  <c r="AW118" i="1"/>
  <c r="AT115" i="1"/>
  <c r="AX111" i="1"/>
  <c r="AR122" i="1"/>
  <c r="AV118" i="1"/>
  <c r="AS115" i="1"/>
  <c r="AW111" i="1"/>
  <c r="AX121" i="1"/>
  <c r="AU118" i="1"/>
  <c r="AR115" i="1"/>
  <c r="AT118" i="1"/>
  <c r="AX114" i="1"/>
  <c r="AU111" i="1"/>
  <c r="AR108" i="1"/>
  <c r="AW107" i="1"/>
  <c r="AT97" i="1"/>
  <c r="AX108" i="1"/>
  <c r="AU105" i="1"/>
  <c r="AR102" i="1"/>
  <c r="AV98" i="1"/>
  <c r="AW94" i="1"/>
  <c r="AT108" i="1"/>
  <c r="AX97" i="1"/>
  <c r="AU94" i="1"/>
  <c r="AV104" i="1"/>
  <c r="AV97" i="1"/>
  <c r="AX100" i="1"/>
  <c r="AX93" i="1"/>
  <c r="AW108" i="1"/>
  <c r="AT105" i="1"/>
  <c r="AX101" i="1"/>
  <c r="AU98" i="1"/>
  <c r="AR95" i="1"/>
  <c r="AW101" i="1"/>
  <c r="AX94" i="1"/>
  <c r="AU108" i="1"/>
  <c r="AV101" i="1"/>
  <c r="AR98" i="1"/>
  <c r="AS108" i="1"/>
  <c r="AT94" i="1"/>
  <c r="AR101" i="1"/>
  <c r="AT104" i="1"/>
  <c r="AW100" i="1"/>
  <c r="AV108" i="1"/>
  <c r="AS105" i="1"/>
  <c r="AT98" i="1"/>
  <c r="AR105" i="1"/>
  <c r="AX104" i="1"/>
  <c r="AV94" i="1"/>
  <c r="AT101" i="1"/>
  <c r="AW97" i="1"/>
  <c r="AU104" i="1"/>
  <c r="AS94" i="1"/>
  <c r="AR94" i="1"/>
  <c r="AV107" i="1"/>
  <c r="AU107" i="1"/>
  <c r="AR104" i="1"/>
  <c r="AV100" i="1"/>
  <c r="AS97" i="1"/>
  <c r="AW93" i="1"/>
  <c r="AT107" i="1"/>
  <c r="AX103" i="1"/>
  <c r="AU100" i="1"/>
  <c r="AR97" i="1"/>
  <c r="AV93" i="1"/>
  <c r="AS107" i="1"/>
  <c r="AW103" i="1"/>
  <c r="AT100" i="1"/>
  <c r="AX96" i="1"/>
  <c r="AU93" i="1"/>
  <c r="AR107" i="1"/>
  <c r="AV103" i="1"/>
  <c r="AS100" i="1"/>
  <c r="AW96" i="1"/>
  <c r="AT93" i="1"/>
  <c r="AX106" i="1"/>
  <c r="AU103" i="1"/>
  <c r="AR100" i="1"/>
  <c r="AV96" i="1"/>
  <c r="AS93" i="1"/>
  <c r="AW106" i="1"/>
  <c r="AT103" i="1"/>
  <c r="AX99" i="1"/>
  <c r="AU96" i="1"/>
  <c r="AR93" i="1"/>
  <c r="AV106" i="1"/>
  <c r="AS103" i="1"/>
  <c r="AW99" i="1"/>
  <c r="AT96" i="1"/>
  <c r="AX92" i="1"/>
  <c r="AS104" i="1"/>
  <c r="AU106" i="1"/>
  <c r="AR103" i="1"/>
  <c r="AV99" i="1"/>
  <c r="AS96" i="1"/>
  <c r="AW92" i="1"/>
  <c r="AT106" i="1"/>
  <c r="AX102" i="1"/>
  <c r="AU99" i="1"/>
  <c r="AR96" i="1"/>
  <c r="AV92" i="1"/>
  <c r="AS106" i="1"/>
  <c r="AW102" i="1"/>
  <c r="AT99" i="1"/>
  <c r="AX95" i="1"/>
  <c r="AU92" i="1"/>
  <c r="AR106" i="1"/>
  <c r="AV102" i="1"/>
  <c r="AS99" i="1"/>
  <c r="AW95" i="1"/>
  <c r="AT92" i="1"/>
  <c r="AX105" i="1"/>
  <c r="AU102" i="1"/>
  <c r="AR99" i="1"/>
  <c r="AV95" i="1"/>
  <c r="AS92" i="1"/>
  <c r="AW105" i="1"/>
  <c r="AT102" i="1"/>
  <c r="AX98" i="1"/>
  <c r="AU95" i="1"/>
  <c r="AR92" i="1"/>
  <c r="AV105" i="1"/>
  <c r="AS102" i="1"/>
  <c r="AW98" i="1"/>
  <c r="AT95" i="1"/>
  <c r="AS95" i="1"/>
  <c r="AS98" i="1"/>
  <c r="AU101" i="1"/>
  <c r="AW104" i="1"/>
  <c r="AS101" i="1"/>
  <c r="AX107" i="1"/>
  <c r="AU97" i="1"/>
  <c r="AL55" i="1"/>
  <c r="AK55" i="1"/>
</calcChain>
</file>

<file path=xl/comments1.xml><?xml version="1.0" encoding="utf-8"?>
<comments xmlns="http://schemas.openxmlformats.org/spreadsheetml/2006/main">
  <authors>
    <author>kmc</author>
  </authors>
  <commentList>
    <comment ref="AM56" authorId="0">
      <text>
        <r>
          <rPr>
            <sz val="9"/>
            <color indexed="81"/>
            <rFont val="Tahoma"/>
            <family val="2"/>
          </rPr>
          <t>MonotoneConvexSpline</t>
        </r>
      </text>
    </comment>
  </commentList>
</comments>
</file>

<file path=xl/sharedStrings.xml><?xml version="1.0" encoding="utf-8"?>
<sst xmlns="http://schemas.openxmlformats.org/spreadsheetml/2006/main" count="651" uniqueCount="170">
  <si>
    <t>IRCurve</t>
  </si>
  <si>
    <t>Index</t>
  </si>
  <si>
    <t>Funding</t>
  </si>
  <si>
    <t>Structure</t>
  </si>
  <si>
    <t>Tenor Basis</t>
  </si>
  <si>
    <t>Model</t>
  </si>
  <si>
    <t>Curve Details</t>
  </si>
  <si>
    <t>Params</t>
  </si>
  <si>
    <t>Maturity</t>
  </si>
  <si>
    <t>x</t>
  </si>
  <si>
    <t>y</t>
  </si>
  <si>
    <t>Curve Parameters</t>
  </si>
  <si>
    <t>Cash</t>
  </si>
  <si>
    <t>CcySwaps</t>
  </si>
  <si>
    <t>Turns</t>
  </si>
  <si>
    <t>Model Parameters</t>
  </si>
  <si>
    <t>Functor</t>
  </si>
  <si>
    <t>Instrument List</t>
  </si>
  <si>
    <t>Tenor</t>
  </si>
  <si>
    <t>Rate</t>
  </si>
  <si>
    <t xml:space="preserve">Start Date </t>
  </si>
  <si>
    <t>End Date</t>
  </si>
  <si>
    <t>Spread</t>
  </si>
  <si>
    <t>Start Date</t>
  </si>
  <si>
    <t>Date</t>
  </si>
  <si>
    <t>Desc</t>
  </si>
  <si>
    <t>End</t>
  </si>
  <si>
    <t>Values</t>
  </si>
  <si>
    <t>Solver</t>
  </si>
  <si>
    <t>LevMar2</t>
  </si>
  <si>
    <t>Queries</t>
  </si>
  <si>
    <t>3M</t>
  </si>
  <si>
    <t>MultiTenor</t>
  </si>
  <si>
    <t>1D</t>
  </si>
  <si>
    <t>1Y</t>
  </si>
  <si>
    <t>1M</t>
  </si>
  <si>
    <t>Solver Parameters</t>
  </si>
  <si>
    <t>Results</t>
  </si>
  <si>
    <t>Futures</t>
  </si>
  <si>
    <t>2D</t>
  </si>
  <si>
    <t>2Y</t>
  </si>
  <si>
    <t>Curves Interpolation</t>
  </si>
  <si>
    <t>1W</t>
  </si>
  <si>
    <t>3Y</t>
  </si>
  <si>
    <t>6M</t>
  </si>
  <si>
    <t>Kpp</t>
  </si>
  <si>
    <t>MultiTenorStripperKpp</t>
  </si>
  <si>
    <t>Name</t>
  </si>
  <si>
    <t>4Y</t>
  </si>
  <si>
    <t>9M</t>
  </si>
  <si>
    <t xml:space="preserve">Cache Parameters </t>
  </si>
  <si>
    <t>SpineCurves</t>
  </si>
  <si>
    <t>2M</t>
  </si>
  <si>
    <t>5Y</t>
  </si>
  <si>
    <t>12M</t>
  </si>
  <si>
    <t>Base Rate</t>
  </si>
  <si>
    <t>Type</t>
  </si>
  <si>
    <t>IR</t>
  </si>
  <si>
    <t>6Y</t>
  </si>
  <si>
    <t>Initialization</t>
  </si>
  <si>
    <t>FromInstruments</t>
  </si>
  <si>
    <t>Representation</t>
  </si>
  <si>
    <t>7Y</t>
  </si>
  <si>
    <t xml:space="preserve">Initialization Parameters </t>
  </si>
  <si>
    <t>Timestamp</t>
  </si>
  <si>
    <t>8Y</t>
  </si>
  <si>
    <t>Build Date</t>
  </si>
  <si>
    <t>9Y</t>
  </si>
  <si>
    <t>Swaps</t>
  </si>
  <si>
    <t>Rates Date</t>
  </si>
  <si>
    <t>10Y</t>
  </si>
  <si>
    <t>Analytical Jacobian</t>
  </si>
  <si>
    <t>Domain</t>
  </si>
  <si>
    <t>COBL</t>
  </si>
  <si>
    <t>12Y</t>
  </si>
  <si>
    <t>1st Jacobian Only</t>
  </si>
  <si>
    <t>Asset</t>
  </si>
  <si>
    <t>EUR</t>
  </si>
  <si>
    <t>15Y</t>
  </si>
  <si>
    <t>Market</t>
  </si>
  <si>
    <t>EURIB</t>
  </si>
  <si>
    <t>20Y</t>
  </si>
  <si>
    <t>ON</t>
  </si>
  <si>
    <t>Expiry</t>
  </si>
  <si>
    <t>Price</t>
  </si>
  <si>
    <t>Convexity</t>
  </si>
  <si>
    <t>25Y</t>
  </si>
  <si>
    <t>30Y</t>
  </si>
  <si>
    <t>Discount Factor Cache</t>
  </si>
  <si>
    <t>40Y</t>
  </si>
  <si>
    <t>Tenor DF Cache</t>
  </si>
  <si>
    <t>Currency</t>
  </si>
  <si>
    <t>50Y</t>
  </si>
  <si>
    <t>Fwd Rate Cache</t>
  </si>
  <si>
    <t>Forecast Index</t>
  </si>
  <si>
    <t>60Y</t>
  </si>
  <si>
    <t>Discounted Fwd Rate Cache</t>
  </si>
  <si>
    <t>Spot Days</t>
  </si>
  <si>
    <t>Fxd Leg Cache</t>
  </si>
  <si>
    <t>Basis</t>
  </si>
  <si>
    <t>A365F</t>
  </si>
  <si>
    <t>Flt Leg Cache</t>
  </si>
  <si>
    <t>Holiday Calendar</t>
  </si>
  <si>
    <t>Float Tenor</t>
  </si>
  <si>
    <t>TenorBasis</t>
  </si>
  <si>
    <t>Curve Interpolation</t>
  </si>
  <si>
    <t>Fixed Tenor</t>
  </si>
  <si>
    <t>S</t>
  </si>
  <si>
    <t>Discount</t>
  </si>
  <si>
    <t>Fixed Basis</t>
  </si>
  <si>
    <t>Basis Swap Tenor</t>
  </si>
  <si>
    <t>Curve Type</t>
  </si>
  <si>
    <t>Left Extrap</t>
  </si>
  <si>
    <t>Right Extrap</t>
  </si>
  <si>
    <t>Interp Curve</t>
  </si>
  <si>
    <t>Interp</t>
  </si>
  <si>
    <t>Swap Fixing</t>
  </si>
  <si>
    <t>BaseCurve</t>
  </si>
  <si>
    <t>Flat</t>
  </si>
  <si>
    <t>StraightLine</t>
  </si>
  <si>
    <t>UkpCurve</t>
  </si>
  <si>
    <t>Swap</t>
  </si>
  <si>
    <t>Fxd Tenor</t>
  </si>
  <si>
    <t>Flt Tenor</t>
  </si>
  <si>
    <t>Fxd Basis</t>
  </si>
  <si>
    <t>Ccy Basis</t>
  </si>
  <si>
    <t>A360</t>
  </si>
  <si>
    <t>MonotoneConvexSpline</t>
  </si>
  <si>
    <t>Tenor Basis Swaps</t>
  </si>
  <si>
    <t>Default Model Params</t>
  </si>
  <si>
    <t>DefaultModelParameters</t>
  </si>
  <si>
    <t>Curve Interpolation Parameters</t>
  </si>
  <si>
    <t>CurveParams</t>
  </si>
  <si>
    <t>DF</t>
  </si>
  <si>
    <t>=QLGlobalIOCController_clear()</t>
  </si>
  <si>
    <t>Spine</t>
  </si>
  <si>
    <t/>
  </si>
  <si>
    <t>SpineCurvesQuery</t>
  </si>
  <si>
    <t>Stripper</t>
  </si>
  <si>
    <t>Result</t>
  </si>
  <si>
    <t>SpineCurves/Base Curve</t>
  </si>
  <si>
    <t>SEP09</t>
  </si>
  <si>
    <t>DEC09</t>
  </si>
  <si>
    <t>MAR10</t>
  </si>
  <si>
    <t>JUN10</t>
  </si>
  <si>
    <t>SEP10</t>
  </si>
  <si>
    <t>DEC10</t>
  </si>
  <si>
    <t>MAR11</t>
  </si>
  <si>
    <t>JUN11</t>
  </si>
  <si>
    <t>30M</t>
  </si>
  <si>
    <t>18M</t>
  </si>
  <si>
    <t>No Cash End Date</t>
  </si>
  <si>
    <t>Formulation</t>
  </si>
  <si>
    <t>Config</t>
  </si>
  <si>
    <t>Production Folder</t>
  </si>
  <si>
    <t>Z:\GDI\PRODUCTION\MARKETDATA\IR\</t>
  </si>
  <si>
    <t>Market Data</t>
  </si>
  <si>
    <t>Currencies</t>
  </si>
  <si>
    <t>Key</t>
  </si>
  <si>
    <t>Table</t>
  </si>
  <si>
    <t>Object</t>
  </si>
  <si>
    <t>GBP</t>
  </si>
  <si>
    <t>LIBOR</t>
  </si>
  <si>
    <t>SWAPS</t>
  </si>
  <si>
    <t>USD</t>
  </si>
  <si>
    <t>File Name</t>
  </si>
  <si>
    <t>c:\prj\FlexYCF\SpineData\1.TBL</t>
  </si>
  <si>
    <t>Save Result?</t>
  </si>
  <si>
    <t>Saved?</t>
  </si>
  <si>
    <t>Right Interp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</si>
</sst>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8" formatCode="_(* #,##0.00_);_(* \(#,##0.00\);_(* &quot;-&quot;??_);_(@_)"/>
    <numFmt numFmtId="169" formatCode="0.000%"/>
  </numFmts>
  <fonts count="22" x14ac:knownFonts="1">
    <font>
      <sz val="10"/>
      <name val="Calibri"/>
      <family val="2"/>
    </font>
    <font>
      <sz val="10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0"/>
      <color rgb="FF006100"/>
      <name val="Calibri"/>
      <family val="2"/>
      <scheme val="minor"/>
    </font>
    <font>
      <sz val="10"/>
      <color rgb="FF9C0006"/>
      <name val="Calibri"/>
      <family val="2"/>
      <scheme val="minor"/>
    </font>
    <font>
      <sz val="10"/>
      <color rgb="FF9C6500"/>
      <name val="Calibri"/>
      <family val="2"/>
      <scheme val="minor"/>
    </font>
    <font>
      <sz val="10"/>
      <color rgb="FF3F3F76"/>
      <name val="Calibri"/>
      <family val="2"/>
      <scheme val="minor"/>
    </font>
    <font>
      <b/>
      <sz val="10"/>
      <color rgb="FF3F3F3F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color rgb="FFFA7D0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rgb="FFFF0000"/>
      <name val="Calibri"/>
      <family val="2"/>
      <scheme val="minor"/>
    </font>
    <font>
      <i/>
      <sz val="10"/>
      <color rgb="FF7F7F7F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indexed="8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9"/>
      <color indexed="81"/>
      <name val="Tahoma"/>
      <family val="2"/>
    </font>
  </fonts>
  <fills count="38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EBF1DE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99CCFF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n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/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</borders>
  <cellStyleXfs count="44">
    <xf numFmtId="0" fontId="0" fillId="0" borderId="0"/>
    <xf numFmtId="168" fontId="0" fillId="0" borderId="0" applyFont="0" applyFill="0" applyBorder="0" applyAlignment="0" applyProtection="0"/>
    <xf numFmtId="9" fontId="0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8" fillId="32" borderId="0" applyNumberFormat="0" applyBorder="0" applyAlignment="0" applyProtection="0"/>
    <xf numFmtId="0" fontId="1" fillId="18" borderId="0" applyNumberFormat="0" applyBorder="0" applyAlignment="0" applyProtection="0"/>
    <xf numFmtId="0" fontId="17" fillId="19" borderId="0" applyNumberFormat="0" applyBorder="0" applyAlignment="0" applyProtection="0"/>
    <xf numFmtId="0" fontId="17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7" fillId="23" borderId="0" applyNumberFormat="0" applyBorder="0" applyAlignment="0" applyProtection="0"/>
    <xf numFmtId="0" fontId="17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7" fillId="27" borderId="0" applyNumberFormat="0" applyBorder="0" applyAlignment="0" applyProtection="0"/>
    <xf numFmtId="0" fontId="17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7" fillId="31" borderId="0" applyNumberFormat="0" applyBorder="0" applyAlignment="0" applyProtection="0"/>
  </cellStyleXfs>
  <cellXfs count="70">
    <xf numFmtId="0" fontId="0" fillId="0" borderId="0" xfId="0"/>
    <xf numFmtId="0" fontId="19" fillId="0" borderId="0" xfId="0" applyFont="1"/>
    <xf numFmtId="0" fontId="0" fillId="0" borderId="0" xfId="0" applyNumberFormat="1" applyFont="1" applyFill="1" applyBorder="1" applyAlignment="1" applyProtection="1"/>
    <xf numFmtId="0" fontId="19" fillId="0" borderId="0" xfId="0" applyFont="1" applyBorder="1" applyAlignment="1">
      <alignment horizontal="center"/>
    </xf>
    <xf numFmtId="0" fontId="19" fillId="0" borderId="0" xfId="0" applyFont="1" applyFill="1" applyBorder="1" applyAlignment="1">
      <alignment horizontal="right"/>
    </xf>
    <xf numFmtId="0" fontId="19" fillId="0" borderId="10" xfId="0" applyFont="1" applyBorder="1"/>
    <xf numFmtId="0" fontId="19" fillId="33" borderId="11" xfId="0" applyFont="1" applyFill="1" applyBorder="1"/>
    <xf numFmtId="0" fontId="19" fillId="0" borderId="11" xfId="0" applyFont="1" applyFill="1" applyBorder="1" applyAlignment="1">
      <alignment horizontal="right"/>
    </xf>
    <xf numFmtId="0" fontId="18" fillId="32" borderId="11" xfId="29" applyBorder="1"/>
    <xf numFmtId="0" fontId="19" fillId="0" borderId="11" xfId="0" applyFont="1" applyBorder="1"/>
    <xf numFmtId="15" fontId="19" fillId="0" borderId="11" xfId="0" applyNumberFormat="1" applyFont="1" applyFill="1" applyBorder="1" applyAlignment="1">
      <alignment horizontal="right"/>
    </xf>
    <xf numFmtId="0" fontId="19" fillId="0" borderId="12" xfId="0" applyFont="1" applyFill="1" applyBorder="1"/>
    <xf numFmtId="0" fontId="19" fillId="0" borderId="12" xfId="0" applyFont="1" applyFill="1" applyBorder="1" applyAlignment="1">
      <alignment horizontal="right"/>
    </xf>
    <xf numFmtId="15" fontId="19" fillId="0" borderId="0" xfId="0" applyNumberFormat="1" applyFont="1"/>
    <xf numFmtId="0" fontId="19" fillId="0" borderId="11" xfId="0" applyFont="1" applyBorder="1" applyAlignment="1">
      <alignment horizontal="right"/>
    </xf>
    <xf numFmtId="0" fontId="19" fillId="33" borderId="11" xfId="0" applyFont="1" applyFill="1" applyBorder="1" applyAlignment="1">
      <alignment horizontal="center"/>
    </xf>
    <xf numFmtId="0" fontId="19" fillId="33" borderId="13" xfId="0" applyFont="1" applyFill="1" applyBorder="1" applyAlignment="1">
      <alignment horizontal="center"/>
    </xf>
    <xf numFmtId="0" fontId="19" fillId="33" borderId="14" xfId="0" applyFont="1" applyFill="1" applyBorder="1" applyAlignment="1">
      <alignment horizontal="center"/>
    </xf>
    <xf numFmtId="0" fontId="19" fillId="33" borderId="15" xfId="0" applyFont="1" applyFill="1" applyBorder="1" applyAlignment="1">
      <alignment horizontal="center"/>
    </xf>
    <xf numFmtId="0" fontId="19" fillId="34" borderId="11" xfId="0" applyFont="1" applyFill="1" applyBorder="1"/>
    <xf numFmtId="0" fontId="19" fillId="0" borderId="11" xfId="0" applyFont="1" applyFill="1" applyBorder="1" applyAlignment="1">
      <alignment horizontal="center"/>
    </xf>
    <xf numFmtId="169" fontId="19" fillId="0" borderId="11" xfId="2" applyNumberFormat="1" applyFont="1" applyFill="1" applyBorder="1" applyAlignment="1">
      <alignment horizontal="center"/>
    </xf>
    <xf numFmtId="15" fontId="19" fillId="0" borderId="11" xfId="2" applyNumberFormat="1" applyFont="1" applyFill="1" applyBorder="1" applyAlignment="1">
      <alignment horizontal="center"/>
    </xf>
    <xf numFmtId="15" fontId="19" fillId="0" borderId="11" xfId="0" applyNumberFormat="1" applyFont="1" applyFill="1" applyBorder="1" applyAlignment="1">
      <alignment horizontal="center"/>
    </xf>
    <xf numFmtId="169" fontId="19" fillId="0" borderId="11" xfId="2" applyNumberFormat="1" applyFont="1" applyBorder="1"/>
    <xf numFmtId="0" fontId="19" fillId="0" borderId="11" xfId="0" applyNumberFormat="1" applyFont="1" applyBorder="1"/>
    <xf numFmtId="0" fontId="19" fillId="0" borderId="0" xfId="0" applyFont="1" applyFill="1" applyBorder="1"/>
    <xf numFmtId="0" fontId="19" fillId="0" borderId="11" xfId="0" applyFont="1" applyFill="1" applyBorder="1"/>
    <xf numFmtId="1" fontId="19" fillId="0" borderId="11" xfId="1" applyNumberFormat="1" applyFont="1" applyFill="1" applyBorder="1" applyAlignment="1">
      <alignment horizontal="right"/>
    </xf>
    <xf numFmtId="0" fontId="19" fillId="0" borderId="0" xfId="0" applyFont="1" applyFill="1" applyBorder="1" applyAlignment="1">
      <alignment horizontal="left"/>
    </xf>
    <xf numFmtId="1" fontId="19" fillId="0" borderId="11" xfId="0" applyNumberFormat="1" applyFont="1" applyFill="1" applyBorder="1" applyAlignment="1">
      <alignment horizontal="right"/>
    </xf>
    <xf numFmtId="16" fontId="19" fillId="0" borderId="11" xfId="0" applyNumberFormat="1" applyFont="1" applyFill="1" applyBorder="1" applyAlignment="1">
      <alignment horizontal="center"/>
    </xf>
    <xf numFmtId="168" fontId="19" fillId="0" borderId="11" xfId="1" applyFont="1" applyFill="1" applyBorder="1" applyAlignment="1">
      <alignment horizontal="right"/>
    </xf>
    <xf numFmtId="0" fontId="19" fillId="0" borderId="0" xfId="0" applyFont="1" applyBorder="1"/>
    <xf numFmtId="0" fontId="20" fillId="0" borderId="0" xfId="0" applyFont="1"/>
    <xf numFmtId="0" fontId="19" fillId="0" borderId="0" xfId="0" applyFont="1" applyFill="1"/>
    <xf numFmtId="15" fontId="19" fillId="0" borderId="11" xfId="0" applyNumberFormat="1" applyFont="1" applyFill="1" applyBorder="1" applyAlignment="1">
      <alignment horizontal="left"/>
    </xf>
    <xf numFmtId="0" fontId="19" fillId="0" borderId="0" xfId="0" applyFont="1" applyAlignment="1">
      <alignment horizontal="right"/>
    </xf>
    <xf numFmtId="0" fontId="19" fillId="35" borderId="11" xfId="0" applyFont="1" applyFill="1" applyBorder="1"/>
    <xf numFmtId="0" fontId="19" fillId="33" borderId="11" xfId="0" applyFont="1" applyFill="1" applyBorder="1" applyAlignment="1"/>
    <xf numFmtId="0" fontId="19" fillId="0" borderId="0" xfId="0" applyFont="1" applyFill="1" applyBorder="1" applyAlignment="1">
      <alignment horizontal="center"/>
    </xf>
    <xf numFmtId="0" fontId="19" fillId="33" borderId="11" xfId="0" applyFont="1" applyFill="1" applyBorder="1" applyAlignment="1"/>
    <xf numFmtId="0" fontId="19" fillId="0" borderId="12" xfId="0" applyFont="1" applyBorder="1"/>
    <xf numFmtId="0" fontId="19" fillId="35" borderId="11" xfId="0" applyFont="1" applyFill="1" applyBorder="1" applyAlignment="1"/>
    <xf numFmtId="15" fontId="19" fillId="0" borderId="11" xfId="0" applyNumberFormat="1" applyFont="1" applyBorder="1"/>
    <xf numFmtId="0" fontId="19" fillId="36" borderId="11" xfId="0" quotePrefix="1" applyFont="1" applyFill="1" applyBorder="1"/>
    <xf numFmtId="0" fontId="19" fillId="0" borderId="0" xfId="0" quotePrefix="1" applyFont="1"/>
    <xf numFmtId="0" fontId="19" fillId="37" borderId="11" xfId="0" applyFont="1" applyFill="1" applyBorder="1"/>
    <xf numFmtId="0" fontId="19" fillId="37" borderId="11" xfId="0" quotePrefix="1" applyFont="1" applyFill="1" applyBorder="1"/>
    <xf numFmtId="0" fontId="19" fillId="0" borderId="11" xfId="0" applyFont="1" applyFill="1" applyBorder="1" applyAlignment="1">
      <alignment horizontal="left"/>
    </xf>
    <xf numFmtId="0" fontId="19" fillId="0" borderId="11" xfId="0" applyNumberFormat="1" applyFont="1" applyFill="1" applyBorder="1" applyAlignment="1"/>
    <xf numFmtId="0" fontId="19" fillId="0" borderId="11" xfId="2" applyNumberFormat="1" applyFont="1" applyFill="1" applyBorder="1" applyAlignment="1"/>
    <xf numFmtId="1" fontId="19" fillId="0" borderId="11" xfId="1" applyNumberFormat="1" applyFont="1" applyFill="1" applyBorder="1" applyAlignment="1">
      <alignment horizontal="center"/>
    </xf>
    <xf numFmtId="1" fontId="19" fillId="0" borderId="11" xfId="0" applyNumberFormat="1" applyFont="1" applyFill="1" applyBorder="1" applyAlignment="1">
      <alignment horizontal="center"/>
    </xf>
    <xf numFmtId="0" fontId="19" fillId="33" borderId="11" xfId="0" applyFont="1" applyFill="1" applyBorder="1" applyAlignment="1">
      <alignment horizontal="right"/>
    </xf>
    <xf numFmtId="15" fontId="19" fillId="0" borderId="0" xfId="0" applyNumberFormat="1" applyFont="1" applyBorder="1"/>
    <xf numFmtId="0" fontId="19" fillId="0" borderId="0" xfId="0" applyFont="1" applyFill="1" applyBorder="1"/>
    <xf numFmtId="0" fontId="19" fillId="0" borderId="0" xfId="0" applyFont="1" applyFill="1"/>
    <xf numFmtId="0" fontId="19" fillId="33" borderId="11" xfId="0" applyFont="1" applyFill="1" applyBorder="1" applyAlignment="1">
      <alignment horizontal="left"/>
    </xf>
    <xf numFmtId="15" fontId="19" fillId="0" borderId="11" xfId="0" applyNumberFormat="1" applyFont="1" applyFill="1" applyBorder="1" applyAlignment="1">
      <alignment horizontal="left"/>
    </xf>
    <xf numFmtId="0" fontId="19" fillId="0" borderId="11" xfId="0" applyFont="1" applyFill="1" applyBorder="1" applyAlignment="1"/>
    <xf numFmtId="0" fontId="19" fillId="33" borderId="11" xfId="0" applyFont="1" applyFill="1" applyBorder="1"/>
    <xf numFmtId="0" fontId="19" fillId="0" borderId="11" xfId="0" applyFont="1" applyFill="1" applyBorder="1"/>
    <xf numFmtId="0" fontId="19" fillId="0" borderId="11" xfId="0" applyFont="1" applyFill="1" applyBorder="1" applyAlignment="1">
      <alignment horizontal="left"/>
    </xf>
    <xf numFmtId="0" fontId="18" fillId="32" borderId="14" xfId="29" applyBorder="1"/>
    <xf numFmtId="0" fontId="19" fillId="0" borderId="16" xfId="0" applyFont="1" applyBorder="1"/>
    <xf numFmtId="0" fontId="18" fillId="32" borderId="16" xfId="29" applyBorder="1" applyAlignment="1">
      <alignment horizontal="right"/>
    </xf>
    <xf numFmtId="0" fontId="19" fillId="0" borderId="17" xfId="0" applyFont="1" applyBorder="1"/>
    <xf numFmtId="0" fontId="19" fillId="0" borderId="18" xfId="0" applyFont="1" applyBorder="1"/>
    <xf numFmtId="0" fontId="0" fillId="0" borderId="0" xfId="0" quotePrefix="1" applyFont="1"/>
  </cellXfs>
  <cellStyles count="44">
    <cellStyle name="20% - Accent1" xfId="21" builtinId="30" customBuiltin="1"/>
    <cellStyle name="20% - Accent2" xfId="25" builtinId="34" customBuiltin="1"/>
    <cellStyle name="20% - Accent3" xfId="29" builtinId="38" customBuiltin="1"/>
    <cellStyle name="20% - Accent4" xfId="33" builtinId="42" customBuiltin="1"/>
    <cellStyle name="20% - Accent5" xfId="37" builtinId="46" customBuiltin="1"/>
    <cellStyle name="20% - Accent6" xfId="41" builtinId="50" customBuiltin="1"/>
    <cellStyle name="40% - Accent1" xfId="22" builtinId="31" customBuiltin="1"/>
    <cellStyle name="40% - Accent2" xfId="26" builtinId="35" customBuiltin="1"/>
    <cellStyle name="40% - Accent3" xfId="30" builtinId="39" customBuiltin="1"/>
    <cellStyle name="40% - Accent4" xfId="34" builtinId="43" customBuiltin="1"/>
    <cellStyle name="40% - Accent5" xfId="38" builtinId="47" customBuiltin="1"/>
    <cellStyle name="40% - Accent6" xfId="42" builtinId="51" customBuiltin="1"/>
    <cellStyle name="60% - Accent1" xfId="23" builtinId="32" customBuiltin="1"/>
    <cellStyle name="60% - Accent2" xfId="27" builtinId="36" customBuiltin="1"/>
    <cellStyle name="60% - Accent3" xfId="31" builtinId="40" customBuiltin="1"/>
    <cellStyle name="60% - Accent4" xfId="35" builtinId="44" customBuiltin="1"/>
    <cellStyle name="60% - Accent5" xfId="39" builtinId="48" customBuiltin="1"/>
    <cellStyle name="60% - Accent6" xfId="43" builtinId="52" customBuiltin="1"/>
    <cellStyle name="Accent1" xfId="20" builtinId="29" customBuiltin="1"/>
    <cellStyle name="Accent2" xfId="24" builtinId="33" customBuiltin="1"/>
    <cellStyle name="Accent3" xfId="28" builtinId="37" customBuiltin="1"/>
    <cellStyle name="Accent4" xfId="32" builtinId="41" customBuiltin="1"/>
    <cellStyle name="Accent5" xfId="36" builtinId="45" customBuiltin="1"/>
    <cellStyle name="Accent6" xfId="40" builtinId="49" customBuiltin="1"/>
    <cellStyle name="Bad" xfId="9" builtinId="27" customBuiltin="1"/>
    <cellStyle name="Calculation" xfId="13" builtinId="22" customBuiltin="1"/>
    <cellStyle name="Check Cell" xfId="15" builtinId="23" customBuiltin="1"/>
    <cellStyle name="Comma" xfId="1" builtinId="3" customBuiltin="1"/>
    <cellStyle name="Explanatory Text" xfId="18" builtinId="53" customBuiltin="1"/>
    <cellStyle name="Good" xfId="8" builtinId="26" customBuiltin="1"/>
    <cellStyle name="Heading 1" xfId="4" builtinId="16" customBuiltin="1"/>
    <cellStyle name="Heading 2" xfId="5" builtinId="17" customBuiltin="1"/>
    <cellStyle name="Heading 3" xfId="6" builtinId="18" customBuiltin="1"/>
    <cellStyle name="Heading 4" xfId="7" builtinId="19" customBuiltin="1"/>
    <cellStyle name="Input" xfId="11" builtinId="20" customBuiltin="1"/>
    <cellStyle name="Linked Cell" xfId="14" builtinId="24" customBuiltin="1"/>
    <cellStyle name="Neutral" xfId="10" builtinId="28" customBuiltin="1"/>
    <cellStyle name="Normal" xfId="0" builtinId="0" customBuiltin="1"/>
    <cellStyle name="Note" xfId="17" builtinId="10" customBuiltin="1"/>
    <cellStyle name="Output" xfId="12" builtinId="21" customBuiltin="1"/>
    <cellStyle name="Percent" xfId="2" builtinId="5" customBuiltin="1"/>
    <cellStyle name="Title" xfId="3" builtinId="15" customBuiltin="1"/>
    <cellStyle name="Total" xfId="19" builtinId="25" customBuiltin="1"/>
    <cellStyle name="Warning Text" xfId="16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indexed="43"/>
  </sheetPr>
  <dimension ref="B1:AX130"/>
  <sheetViews>
    <sheetView showGridLines="0" topLeftCell="AG1" zoomScale="85" workbookViewId="0">
      <selection activeCell="AR26" sqref="AR26"/>
    </sheetView>
  </sheetViews>
  <sheetFormatPr defaultRowHeight="12.75" x14ac:dyDescent="0.2"/>
  <cols>
    <col min="1" max="1" width="3.7109375" style="1" customWidth="1"/>
    <col min="2" max="3" width="20.7109375" style="1" customWidth="1"/>
    <col min="4" max="4" width="3.7109375" style="1" customWidth="1"/>
    <col min="5" max="12" width="10.7109375" style="1" customWidth="1"/>
    <col min="13" max="13" width="3.7109375" style="1" customWidth="1"/>
    <col min="14" max="17" width="10.7109375" style="1" customWidth="1"/>
    <col min="18" max="18" width="3.7109375" style="1" customWidth="1"/>
    <col min="19" max="22" width="10.7109375" style="1" customWidth="1"/>
    <col min="23" max="23" width="3.7109375" style="1" customWidth="1"/>
    <col min="24" max="30" width="10.7109375" style="1" customWidth="1"/>
    <col min="31" max="31" width="4.5703125" style="1" customWidth="1"/>
    <col min="32" max="39" width="20.7109375" style="1" customWidth="1"/>
    <col min="40" max="40" width="3.7109375" style="1" customWidth="1"/>
    <col min="41" max="42" width="20.7109375" style="1" customWidth="1"/>
    <col min="43" max="43" width="3.7109375" style="1" customWidth="1"/>
    <col min="44" max="50" width="9.140625" style="1"/>
    <col min="51" max="51" width="3.7109375" style="1" customWidth="1"/>
    <col min="52" max="257" width="10.7109375" style="1" customWidth="1"/>
    <col min="258" max="16384" width="9.140625" style="1"/>
  </cols>
  <sheetData>
    <row r="1" spans="2:50" x14ac:dyDescent="0.2">
      <c r="F1" s="2"/>
      <c r="G1" s="2"/>
      <c r="N1" s="3"/>
    </row>
    <row r="2" spans="2:50" x14ac:dyDescent="0.2">
      <c r="B2" s="1" t="s">
        <v>0</v>
      </c>
      <c r="C2" s="4" t="str">
        <f ca="1">_xll.LTTbl_Create(C10,B3:C6,"row")</f>
        <v>IR-EUR EURIB-COBL@09072009::TBL[30]@11:51:01-20140424</v>
      </c>
      <c r="E2" s="5" t="s">
        <v>1</v>
      </c>
      <c r="F2" s="5"/>
      <c r="G2" s="5"/>
      <c r="H2" s="5"/>
      <c r="I2" s="5"/>
      <c r="J2" s="5"/>
      <c r="K2" s="5"/>
      <c r="L2" s="5"/>
      <c r="N2" s="5" t="s">
        <v>2</v>
      </c>
      <c r="O2" s="5"/>
      <c r="P2" s="5"/>
      <c r="Q2" s="5"/>
      <c r="S2" s="5" t="s">
        <v>3</v>
      </c>
      <c r="T2" s="5"/>
      <c r="U2" s="5"/>
      <c r="V2" s="5"/>
      <c r="X2" s="5" t="s">
        <v>4</v>
      </c>
      <c r="Y2" s="5"/>
      <c r="Z2" s="5"/>
      <c r="AA2" s="5"/>
      <c r="AB2" s="5"/>
      <c r="AC2" s="5"/>
      <c r="AD2" s="5"/>
      <c r="AF2" s="5" t="s">
        <v>5</v>
      </c>
      <c r="AG2" s="5"/>
      <c r="AH2" s="5"/>
      <c r="AI2" s="5"/>
      <c r="AJ2" s="5"/>
      <c r="AK2" s="5"/>
      <c r="AL2" s="5"/>
      <c r="AM2" s="5"/>
      <c r="AR2" s="1" t="str">
        <f ca="1">AO16</f>
        <v>Base Rate</v>
      </c>
    </row>
    <row r="3" spans="2:50" x14ac:dyDescent="0.2">
      <c r="B3" s="6" t="s">
        <v>6</v>
      </c>
      <c r="C3" s="7" t="str">
        <f ca="1">C9</f>
        <v>Curve Details::TBL[2]@11:51:01-20140424</v>
      </c>
      <c r="AO3" s="8" t="s">
        <v>7</v>
      </c>
      <c r="AP3" s="9"/>
      <c r="AR3" s="8" t="str">
        <f t="array" aca="1" ref="AR3:AX28" ca="1">_xll.LTTbl_Get(AP16)</f>
        <v>#</v>
      </c>
      <c r="AS3" s="8" t="str">
        <f ca="1"/>
        <v>Instrument</v>
      </c>
      <c r="AT3" s="8" t="str">
        <f ca="1"/>
        <v>Maturity</v>
      </c>
      <c r="AU3" s="8" t="str">
        <f ca="1"/>
        <v>x</v>
      </c>
      <c r="AV3" s="8" t="str">
        <f ca="1"/>
        <v>y</v>
      </c>
      <c r="AW3" s="8" t="str">
        <f ca="1"/>
        <v>Fixed?</v>
      </c>
      <c r="AX3" s="8" t="str">
        <f ca="1"/>
        <v>df</v>
      </c>
    </row>
    <row r="4" spans="2:50" x14ac:dyDescent="0.2">
      <c r="B4" s="6" t="s">
        <v>11</v>
      </c>
      <c r="C4" s="10" t="str">
        <f ca="1">C20</f>
        <v>Curve Parameters::TBL[9]@11:51:01-20140424</v>
      </c>
      <c r="E4" s="1" t="s">
        <v>12</v>
      </c>
      <c r="F4" s="1" t="str">
        <f ca="1">_xll.LTTbl_Create(E4,E5:H16)</f>
        <v>Cash::TBL[3]@11:51:01-20140424</v>
      </c>
      <c r="N4" s="1" t="s">
        <v>13</v>
      </c>
      <c r="O4" s="1" t="str">
        <f ca="1">_xll.LTTbl_Create(N4,N5:Q23)</f>
        <v>CcySwaps::TBL[16]@11:51:01-20140424</v>
      </c>
      <c r="S4" s="1" t="s">
        <v>14</v>
      </c>
      <c r="T4" s="1" t="str">
        <f ca="1">_xll.LTTbl_Create(S4,S5:V19)</f>
        <v>Turns::TBL[18]@11:51:01-20140424</v>
      </c>
      <c r="X4" s="1" t="str">
        <f ca="1">_xll.LTTbl_Create(X5,X5:X24)</f>
        <v>Maturity::TBL[11]@11:51:01-20140424</v>
      </c>
      <c r="Y4" s="1" t="str">
        <f ca="1">_xll.LTTbl_Create(Y5,Y5:Y24)</f>
        <v>Tenor::TBL[15]@11:51:01-20140424</v>
      </c>
      <c r="Z4" s="1" t="str">
        <f ca="1">_xll.LTTbl_Create(Z5,Z6:AD24)</f>
        <v>Values::TBL[6]@11:51:01-20140424</v>
      </c>
      <c r="AF4" s="11" t="s">
        <v>15</v>
      </c>
      <c r="AG4" s="12" t="str">
        <f ca="1">_xll.LTTbl_Create(AF4,AF5:AG12,"row")</f>
        <v>Model Parameters::TBL[28]@11:51:01-20140424</v>
      </c>
      <c r="AI4" s="13"/>
      <c r="AO4" s="8" t="s">
        <v>16</v>
      </c>
      <c r="AP4" s="14" t="str">
        <f ca="1">C44</f>
        <v>IR-EUR EURIB-COBL@09072009::Price_IL[1]@11:51:01-20140424</v>
      </c>
      <c r="AR4" s="9">
        <f ca="1"/>
        <v>0</v>
      </c>
      <c r="AS4" s="9" t="str">
        <f ca="1"/>
        <v>N.A.</v>
      </c>
      <c r="AT4" s="9" t="str">
        <f ca="1"/>
        <v>N.A.</v>
      </c>
      <c r="AU4" s="9">
        <f ca="1"/>
        <v>0</v>
      </c>
      <c r="AV4" s="9">
        <f ca="1"/>
        <v>0</v>
      </c>
      <c r="AW4" s="9">
        <f ca="1"/>
        <v>1</v>
      </c>
      <c r="AX4" s="9">
        <f ca="1"/>
        <v>1</v>
      </c>
    </row>
    <row r="5" spans="2:50" x14ac:dyDescent="0.2">
      <c r="B5" s="6" t="s">
        <v>17</v>
      </c>
      <c r="C5" s="7" t="str">
        <f ca="1">C32</f>
        <v>Instrument List::TBL[29]@11:51:01-20140424</v>
      </c>
      <c r="E5" s="15" t="s">
        <v>18</v>
      </c>
      <c r="F5" s="15" t="s">
        <v>19</v>
      </c>
      <c r="G5" s="15" t="s">
        <v>20</v>
      </c>
      <c r="H5" s="15" t="s">
        <v>21</v>
      </c>
      <c r="N5" s="15" t="s">
        <v>18</v>
      </c>
      <c r="O5" s="15" t="s">
        <v>22</v>
      </c>
      <c r="P5" s="15" t="s">
        <v>23</v>
      </c>
      <c r="Q5" s="15" t="s">
        <v>21</v>
      </c>
      <c r="S5" s="15" t="s">
        <v>24</v>
      </c>
      <c r="T5" s="15" t="s">
        <v>22</v>
      </c>
      <c r="U5" s="15" t="s">
        <v>25</v>
      </c>
      <c r="V5" s="15" t="s">
        <v>26</v>
      </c>
      <c r="X5" s="6" t="s">
        <v>8</v>
      </c>
      <c r="Y5" s="6" t="s">
        <v>18</v>
      </c>
      <c r="Z5" s="16" t="s">
        <v>27</v>
      </c>
      <c r="AA5" s="18"/>
      <c r="AB5" s="18"/>
      <c r="AC5" s="18"/>
      <c r="AD5" s="17"/>
      <c r="AF5" s="19" t="s">
        <v>28</v>
      </c>
      <c r="AG5" s="7" t="s">
        <v>29</v>
      </c>
      <c r="AO5" s="8" t="s">
        <v>30</v>
      </c>
      <c r="AP5" s="14" t="str">
        <f ca="1">_xll.LTTbl_Create(AO5,AO8:AP9)</f>
        <v>Queries::TBL[26]@11:51:01-20140424</v>
      </c>
      <c r="AR5" s="9">
        <f ca="1"/>
        <v>1</v>
      </c>
      <c r="AS5" s="9" t="str">
        <f ca="1"/>
        <v>Cash</v>
      </c>
      <c r="AT5" s="9" t="str">
        <f ca="1"/>
        <v>3M</v>
      </c>
      <c r="AU5" s="9">
        <f ca="1"/>
        <v>0.18904109589041096</v>
      </c>
      <c r="AV5" s="9">
        <f ca="1"/>
        <v>2.4482392430700468E-3</v>
      </c>
      <c r="AW5" s="9">
        <f ca="1"/>
        <v>0</v>
      </c>
      <c r="AX5" s="9">
        <f ca="1"/>
        <v>0.99755475525038162</v>
      </c>
    </row>
    <row r="6" spans="2:50" x14ac:dyDescent="0.2">
      <c r="B6" s="6" t="s">
        <v>5</v>
      </c>
      <c r="C6" s="10" t="s">
        <v>32</v>
      </c>
      <c r="E6" s="20" t="s">
        <v>33</v>
      </c>
      <c r="F6" s="21">
        <v>4.1120000000000002E-3</v>
      </c>
      <c r="G6" s="22">
        <v>40003</v>
      </c>
      <c r="H6" s="22">
        <v>40035</v>
      </c>
      <c r="N6" s="20" t="s">
        <v>34</v>
      </c>
      <c r="O6" s="21">
        <v>-3.65E-3</v>
      </c>
      <c r="P6" s="22">
        <v>40003</v>
      </c>
      <c r="Q6" s="22">
        <v>40368</v>
      </c>
      <c r="S6" s="22">
        <v>40178</v>
      </c>
      <c r="T6" s="21">
        <v>1E-4</v>
      </c>
      <c r="U6" s="23">
        <v>40178</v>
      </c>
      <c r="V6" s="22">
        <v>40179</v>
      </c>
      <c r="X6" s="9" t="s">
        <v>35</v>
      </c>
      <c r="Y6" s="9" t="s">
        <v>33</v>
      </c>
      <c r="Z6" s="24">
        <v>4.2709999999999996E-3</v>
      </c>
      <c r="AA6" s="24">
        <v>4.2709999999999996E-3</v>
      </c>
      <c r="AB6" s="24">
        <v>0</v>
      </c>
      <c r="AC6" s="24">
        <v>1.9765999999999998E-3</v>
      </c>
      <c r="AD6" s="24">
        <v>2.9648600000000002E-3</v>
      </c>
      <c r="AF6" s="19" t="s">
        <v>36</v>
      </c>
      <c r="AG6" s="10" t="str">
        <f ca="1">AG14</f>
        <v>Solver Parameters::TBL[13]@11:51:01-20140424</v>
      </c>
      <c r="AO6" s="8" t="s">
        <v>37</v>
      </c>
      <c r="AP6" s="14" t="str">
        <f ca="1">_xll.QLIL_apply(AP4,AO6,AP5)</f>
        <v>Results::TBL[31]@11:51:01-20140424</v>
      </c>
      <c r="AR6" s="9">
        <f ca="1"/>
        <v>2</v>
      </c>
      <c r="AS6" s="9" t="str">
        <f ca="1"/>
        <v>Futures</v>
      </c>
      <c r="AT6" s="25" t="str">
        <f ca="1"/>
        <v>41526</v>
      </c>
      <c r="AU6" s="9">
        <f ca="1"/>
        <v>0.43835616438356162</v>
      </c>
      <c r="AV6" s="9">
        <f ca="1"/>
        <v>4.8064018224269452E-3</v>
      </c>
      <c r="AW6" s="9">
        <f ca="1"/>
        <v>0</v>
      </c>
      <c r="AX6" s="9">
        <f ca="1"/>
        <v>0.99520513044318026</v>
      </c>
    </row>
    <row r="7" spans="2:50" x14ac:dyDescent="0.2">
      <c r="E7" s="20" t="s">
        <v>39</v>
      </c>
      <c r="F7" s="21">
        <v>4.1120000000000002E-3</v>
      </c>
      <c r="G7" s="22">
        <v>40003</v>
      </c>
      <c r="H7" s="22">
        <v>40095</v>
      </c>
      <c r="N7" s="20" t="s">
        <v>40</v>
      </c>
      <c r="O7" s="21">
        <v>-3.65E-3</v>
      </c>
      <c r="P7" s="22">
        <v>40003</v>
      </c>
      <c r="Q7" s="22">
        <v>40735</v>
      </c>
      <c r="S7" s="22">
        <v>40543</v>
      </c>
      <c r="T7" s="21">
        <v>1.0000000000000001E-5</v>
      </c>
      <c r="U7" s="23">
        <v>40543</v>
      </c>
      <c r="V7" s="22">
        <v>40544</v>
      </c>
      <c r="X7" s="9" t="s">
        <v>31</v>
      </c>
      <c r="Y7" s="9" t="s">
        <v>35</v>
      </c>
      <c r="Z7" s="24">
        <v>4.2709999999999996E-3</v>
      </c>
      <c r="AA7" s="24">
        <v>4.2709999999999996E-3</v>
      </c>
      <c r="AB7" s="24">
        <v>0</v>
      </c>
      <c r="AC7" s="24">
        <v>1.9765999999999998E-3</v>
      </c>
      <c r="AD7" s="24">
        <v>2.9648600000000002E-3</v>
      </c>
      <c r="AF7" s="19" t="s">
        <v>41</v>
      </c>
      <c r="AG7" s="10" t="str">
        <f ca="1">AH26</f>
        <v>Curve Interpolation::TBL[25]@11:51:01-20140424</v>
      </c>
      <c r="AR7" s="9">
        <f ca="1"/>
        <v>3</v>
      </c>
      <c r="AS7" s="9" t="str">
        <f ca="1"/>
        <v>Futures</v>
      </c>
      <c r="AT7" s="25" t="str">
        <f ca="1"/>
        <v>41617</v>
      </c>
      <c r="AU7" s="9">
        <f ca="1"/>
        <v>0.68493150684931503</v>
      </c>
      <c r="AV7" s="9">
        <f ca="1"/>
        <v>7.5767109634640138E-3</v>
      </c>
      <c r="AW7" s="9">
        <f ca="1"/>
        <v>0</v>
      </c>
      <c r="AX7" s="9">
        <f ca="1"/>
        <v>0.99245191995601489</v>
      </c>
    </row>
    <row r="8" spans="2:50" x14ac:dyDescent="0.2">
      <c r="E8" s="20" t="s">
        <v>42</v>
      </c>
      <c r="F8" s="21">
        <v>5.8999999999999999E-3</v>
      </c>
      <c r="G8" s="22">
        <v>40003</v>
      </c>
      <c r="H8" s="22">
        <v>40189</v>
      </c>
      <c r="N8" s="20" t="s">
        <v>43</v>
      </c>
      <c r="O8" s="21">
        <v>-3.65E-3</v>
      </c>
      <c r="P8" s="22">
        <v>40003</v>
      </c>
      <c r="Q8" s="22">
        <v>41099</v>
      </c>
      <c r="S8" s="22">
        <v>40908</v>
      </c>
      <c r="T8" s="21">
        <v>1.0000000000000001E-5</v>
      </c>
      <c r="U8" s="23">
        <v>40908</v>
      </c>
      <c r="V8" s="22">
        <v>40909</v>
      </c>
      <c r="X8" s="9" t="s">
        <v>44</v>
      </c>
      <c r="Y8" s="9" t="s">
        <v>31</v>
      </c>
      <c r="Z8" s="24">
        <v>3.8734239999999999E-3</v>
      </c>
      <c r="AA8" s="24">
        <v>3.8734239999999999E-3</v>
      </c>
      <c r="AB8" s="24">
        <v>0</v>
      </c>
      <c r="AC8" s="24">
        <v>1.9765999999999998E-3</v>
      </c>
      <c r="AD8" s="24">
        <v>2.9648600000000002E-3</v>
      </c>
      <c r="AF8" s="19" t="s">
        <v>45</v>
      </c>
      <c r="AG8" s="10" t="s">
        <v>46</v>
      </c>
      <c r="AO8" s="8" t="s">
        <v>47</v>
      </c>
      <c r="AP8" s="8" t="s">
        <v>7</v>
      </c>
      <c r="AR8" s="9">
        <f ca="1"/>
        <v>4</v>
      </c>
      <c r="AS8" s="9" t="str">
        <f ca="1"/>
        <v>Futures</v>
      </c>
      <c r="AT8" s="25" t="str">
        <f ca="1"/>
        <v>41343</v>
      </c>
      <c r="AU8" s="9">
        <f ca="1"/>
        <v>0.9397260273972603</v>
      </c>
      <c r="AV8" s="9">
        <f ca="1"/>
        <v>1.1109555044184068E-2</v>
      </c>
      <c r="AW8" s="9">
        <f ca="1"/>
        <v>0</v>
      </c>
      <c r="AX8" s="9">
        <f ca="1"/>
        <v>0.98895192816811295</v>
      </c>
    </row>
    <row r="9" spans="2:50" x14ac:dyDescent="0.2">
      <c r="B9" s="1" t="s">
        <v>6</v>
      </c>
      <c r="C9" s="4" t="str">
        <f ca="1">_xll.LTTbl_Create(B9,B10:C18,"row")</f>
        <v>Curve Details::TBL[2]@11:51:01-20140424</v>
      </c>
      <c r="E9" s="20" t="s">
        <v>35</v>
      </c>
      <c r="F9" s="21">
        <v>6.6750000000000004E-3</v>
      </c>
      <c r="G9" s="22">
        <v>40003</v>
      </c>
      <c r="H9" s="22">
        <v>40368</v>
      </c>
      <c r="N9" s="20" t="s">
        <v>48</v>
      </c>
      <c r="O9" s="21">
        <v>-3.7000000000000002E-3</v>
      </c>
      <c r="P9" s="22">
        <v>40003</v>
      </c>
      <c r="Q9" s="22">
        <v>41464</v>
      </c>
      <c r="S9" s="22"/>
      <c r="T9" s="21"/>
      <c r="U9" s="20"/>
      <c r="V9" s="22"/>
      <c r="X9" s="9" t="s">
        <v>49</v>
      </c>
      <c r="Y9" s="9" t="s">
        <v>44</v>
      </c>
      <c r="Z9" s="24">
        <v>3.4867119999999999E-3</v>
      </c>
      <c r="AA9" s="24">
        <v>3.4867119999999999E-3</v>
      </c>
      <c r="AB9" s="24">
        <v>0</v>
      </c>
      <c r="AC9" s="24">
        <v>1.8883000000000001E-3</v>
      </c>
      <c r="AD9" s="24">
        <v>2.8324320000000002E-3</v>
      </c>
      <c r="AF9" s="19" t="s">
        <v>50</v>
      </c>
      <c r="AG9" s="7" t="str">
        <f ca="1">AG18</f>
        <v>Model::TBL[10]@11:51:01-20140424</v>
      </c>
      <c r="AO9" s="9" t="s">
        <v>51</v>
      </c>
      <c r="AP9" s="9"/>
      <c r="AR9" s="9">
        <f ca="1"/>
        <v>5</v>
      </c>
      <c r="AS9" s="9" t="str">
        <f ca="1"/>
        <v>Futures</v>
      </c>
      <c r="AT9" s="25" t="str">
        <f ca="1"/>
        <v>41435</v>
      </c>
      <c r="AU9" s="9">
        <f ca="1"/>
        <v>1.189041095890411</v>
      </c>
      <c r="AV9" s="9">
        <f ca="1"/>
        <v>1.5670703165559123E-2</v>
      </c>
      <c r="AW9" s="9">
        <f ca="1"/>
        <v>0</v>
      </c>
      <c r="AX9" s="9">
        <f ca="1"/>
        <v>0.98445144342993784</v>
      </c>
    </row>
    <row r="10" spans="2:50" x14ac:dyDescent="0.2">
      <c r="B10" s="6" t="s">
        <v>47</v>
      </c>
      <c r="C10" s="10" t="str">
        <f ca="1">"IR-"&amp;C17&amp;" "&amp;C18&amp;"-COBL@"&amp;TEXT(C13,"ddmmyyyy")</f>
        <v>IR-EUR EURIB-COBL@09072009</v>
      </c>
      <c r="E10" s="20" t="s">
        <v>52</v>
      </c>
      <c r="F10" s="21">
        <v>1.04125E-2</v>
      </c>
      <c r="G10" s="22"/>
      <c r="H10" s="22"/>
      <c r="N10" s="20" t="s">
        <v>53</v>
      </c>
      <c r="O10" s="21">
        <v>-3.7000000000000002E-3</v>
      </c>
      <c r="P10" s="22">
        <v>40003</v>
      </c>
      <c r="Q10" s="22">
        <v>41829</v>
      </c>
      <c r="S10" s="22"/>
      <c r="T10" s="21"/>
      <c r="U10" s="20"/>
      <c r="V10" s="22"/>
      <c r="X10" s="9" t="s">
        <v>54</v>
      </c>
      <c r="Y10" s="9" t="s">
        <v>54</v>
      </c>
      <c r="Z10" s="24">
        <v>3.0999999999999999E-3</v>
      </c>
      <c r="AA10" s="24">
        <v>3.0999999999999999E-3</v>
      </c>
      <c r="AB10" s="24">
        <v>0</v>
      </c>
      <c r="AC10" s="24">
        <v>1.8E-3</v>
      </c>
      <c r="AD10" s="24">
        <v>1.25E-3</v>
      </c>
      <c r="AF10" s="19" t="s">
        <v>55</v>
      </c>
      <c r="AG10" s="7" t="s">
        <v>31</v>
      </c>
      <c r="AR10" s="9">
        <f ca="1"/>
        <v>6</v>
      </c>
      <c r="AS10" s="9" t="str">
        <f ca="1"/>
        <v>Futures</v>
      </c>
      <c r="AT10" s="25" t="str">
        <f ca="1"/>
        <v>41527</v>
      </c>
      <c r="AU10" s="9">
        <f ca="1"/>
        <v>1.4356164383561645</v>
      </c>
      <c r="AV10" s="9">
        <f ca="1"/>
        <v>2.130165845968823E-2</v>
      </c>
      <c r="AW10" s="9">
        <f ca="1"/>
        <v>0</v>
      </c>
      <c r="AX10" s="9">
        <f ca="1"/>
        <v>0.97892361943382911</v>
      </c>
    </row>
    <row r="11" spans="2:50" x14ac:dyDescent="0.2">
      <c r="B11" s="6" t="s">
        <v>56</v>
      </c>
      <c r="C11" s="7" t="s">
        <v>57</v>
      </c>
      <c r="E11" s="20" t="s">
        <v>31</v>
      </c>
      <c r="F11" s="21">
        <v>1.25188E-2</v>
      </c>
      <c r="G11" s="22"/>
      <c r="H11" s="22"/>
      <c r="N11" s="20" t="s">
        <v>58</v>
      </c>
      <c r="O11" s="21">
        <v>-3.5999999999999999E-3</v>
      </c>
      <c r="P11" s="22">
        <v>40003</v>
      </c>
      <c r="Q11" s="22">
        <v>42194</v>
      </c>
      <c r="S11" s="22"/>
      <c r="T11" s="21"/>
      <c r="U11" s="20"/>
      <c r="V11" s="22"/>
      <c r="X11" s="9" t="s">
        <v>40</v>
      </c>
      <c r="Y11" s="9"/>
      <c r="Z11" s="24">
        <v>2.65E-3</v>
      </c>
      <c r="AA11" s="24">
        <v>2.65E-3</v>
      </c>
      <c r="AB11" s="24">
        <v>0</v>
      </c>
      <c r="AC11" s="24">
        <v>1.475E-3</v>
      </c>
      <c r="AD11" s="24">
        <v>1.175E-3</v>
      </c>
      <c r="AF11" s="19" t="s">
        <v>59</v>
      </c>
      <c r="AG11" s="10" t="s">
        <v>60</v>
      </c>
      <c r="AR11" s="9">
        <f ca="1"/>
        <v>7</v>
      </c>
      <c r="AS11" s="9" t="str">
        <f ca="1"/>
        <v>Futures</v>
      </c>
      <c r="AT11" s="25" t="str">
        <f ca="1"/>
        <v>41618</v>
      </c>
      <c r="AU11" s="9">
        <f ca="1"/>
        <v>1.6821917808219178</v>
      </c>
      <c r="AV11" s="9">
        <f ca="1"/>
        <v>2.8132605181398807E-2</v>
      </c>
      <c r="AW11" s="9">
        <f ca="1"/>
        <v>0</v>
      </c>
      <c r="AX11" s="9">
        <f ca="1"/>
        <v>0.97225943161440298</v>
      </c>
    </row>
    <row r="12" spans="2:50" x14ac:dyDescent="0.2">
      <c r="B12" s="6" t="s">
        <v>61</v>
      </c>
      <c r="C12" s="10"/>
      <c r="E12" s="20" t="s">
        <v>44</v>
      </c>
      <c r="F12" s="21">
        <v>1.4725E-2</v>
      </c>
      <c r="G12" s="22"/>
      <c r="H12" s="22"/>
      <c r="N12" s="20" t="s">
        <v>62</v>
      </c>
      <c r="O12" s="21">
        <v>-3.5000000000000001E-3</v>
      </c>
      <c r="P12" s="22">
        <v>40003</v>
      </c>
      <c r="Q12" s="22">
        <v>42562</v>
      </c>
      <c r="S12" s="22"/>
      <c r="T12" s="21"/>
      <c r="U12" s="20"/>
      <c r="V12" s="22"/>
      <c r="X12" s="9" t="s">
        <v>43</v>
      </c>
      <c r="Y12" s="9"/>
      <c r="Z12" s="24">
        <v>2.3999999999999998E-3</v>
      </c>
      <c r="AA12" s="24">
        <v>2.3999999999999998E-3</v>
      </c>
      <c r="AB12" s="24">
        <v>0</v>
      </c>
      <c r="AC12" s="24">
        <v>1.1999999999999999E-3</v>
      </c>
      <c r="AD12" s="24">
        <v>1.15E-3</v>
      </c>
      <c r="AF12" s="19" t="s">
        <v>63</v>
      </c>
      <c r="AG12" s="10"/>
      <c r="AO12" s="1" t="str">
        <f ca="1">_xll.LTTbl_GetByKey(AP6,AO9)</f>
        <v>Spine Curves Details::TBL[32(1,0)]@11:51:01-20140424</v>
      </c>
      <c r="AR12" s="9">
        <f ca="1"/>
        <v>8</v>
      </c>
      <c r="AS12" s="9" t="str">
        <f ca="1"/>
        <v>Futures</v>
      </c>
      <c r="AT12" s="25" t="str">
        <f ca="1"/>
        <v>41344</v>
      </c>
      <c r="AU12" s="9">
        <f ca="1"/>
        <v>1.9369863013698629</v>
      </c>
      <c r="AV12" s="9">
        <f ca="1"/>
        <v>3.6243408169747325E-2</v>
      </c>
      <c r="AW12" s="9">
        <f ca="1"/>
        <v>0</v>
      </c>
      <c r="AX12" s="9">
        <f ca="1"/>
        <v>0.96440552072878416</v>
      </c>
    </row>
    <row r="13" spans="2:50" x14ac:dyDescent="0.2">
      <c r="B13" s="6" t="s">
        <v>64</v>
      </c>
      <c r="C13" s="10">
        <f ca="1">G6</f>
        <v>40003</v>
      </c>
      <c r="E13" s="20" t="s">
        <v>49</v>
      </c>
      <c r="F13" s="21">
        <v>1.61875E-2</v>
      </c>
      <c r="G13" s="22"/>
      <c r="H13" s="22"/>
      <c r="N13" s="20" t="s">
        <v>65</v>
      </c>
      <c r="O13" s="21">
        <v>-3.3999999999999998E-3</v>
      </c>
      <c r="P13" s="22">
        <v>40003</v>
      </c>
      <c r="Q13" s="22">
        <v>42926</v>
      </c>
      <c r="S13" s="22"/>
      <c r="T13" s="21"/>
      <c r="U13" s="20"/>
      <c r="V13" s="22"/>
      <c r="X13" s="9" t="s">
        <v>48</v>
      </c>
      <c r="Y13" s="9"/>
      <c r="Z13" s="24">
        <v>2.1749999999999999E-3</v>
      </c>
      <c r="AA13" s="24">
        <v>2.1749999999999999E-3</v>
      </c>
      <c r="AB13" s="24">
        <v>0</v>
      </c>
      <c r="AC13" s="24">
        <v>1.0499999999999999E-3</v>
      </c>
      <c r="AD13" s="24">
        <v>1.1249999999999999E-3</v>
      </c>
      <c r="AF13" s="2"/>
      <c r="AG13" s="2"/>
      <c r="AO13" s="9" t="str">
        <f t="array" aca="1" ref="AO13:AP14" ca="1">_xll.LTTbl_Get(AO12,"r")</f>
        <v>Base Rate</v>
      </c>
      <c r="AP13" s="9" t="str">
        <f ca="1"/>
        <v>3M</v>
      </c>
      <c r="AR13" s="9">
        <f ca="1"/>
        <v>9</v>
      </c>
      <c r="AS13" s="9" t="str">
        <f ca="1"/>
        <v>Futures</v>
      </c>
      <c r="AT13" s="25" t="str">
        <f ca="1"/>
        <v>41436</v>
      </c>
      <c r="AU13" s="9">
        <f ca="1"/>
        <v>2.1863013698630138</v>
      </c>
      <c r="AV13" s="9">
        <f ca="1"/>
        <v>4.5216475749739048E-2</v>
      </c>
      <c r="AW13" s="9">
        <f ca="1"/>
        <v>0</v>
      </c>
      <c r="AX13" s="9">
        <f ca="1"/>
        <v>0.9557905539597128</v>
      </c>
    </row>
    <row r="14" spans="2:50" x14ac:dyDescent="0.2">
      <c r="B14" s="6" t="s">
        <v>66</v>
      </c>
      <c r="C14" s="10">
        <f ca="1">C13</f>
        <v>40003</v>
      </c>
      <c r="E14" s="20" t="s">
        <v>54</v>
      </c>
      <c r="F14" s="21">
        <v>1.7524999999999999E-2</v>
      </c>
      <c r="G14" s="22"/>
      <c r="H14" s="22"/>
      <c r="N14" s="20" t="s">
        <v>67</v>
      </c>
      <c r="O14" s="21">
        <v>3.3500000000000001E-3</v>
      </c>
      <c r="P14" s="22">
        <v>40003</v>
      </c>
      <c r="Q14" s="22">
        <v>43290</v>
      </c>
      <c r="S14" s="22"/>
      <c r="T14" s="21"/>
      <c r="U14" s="20"/>
      <c r="V14" s="22"/>
      <c r="X14" s="9" t="s">
        <v>53</v>
      </c>
      <c r="Y14" s="9"/>
      <c r="Z14" s="24">
        <v>2E-3</v>
      </c>
      <c r="AA14" s="24">
        <v>2E-3</v>
      </c>
      <c r="AB14" s="24">
        <v>0</v>
      </c>
      <c r="AC14" s="24">
        <v>9.5E-4</v>
      </c>
      <c r="AD14" s="24">
        <v>1.1000000000000001E-3</v>
      </c>
      <c r="AF14" s="26" t="str">
        <f ca="1">AF6</f>
        <v>Solver Parameters</v>
      </c>
      <c r="AG14" s="4" t="str">
        <f ca="1">_xll.LTTbl_Create(AF14,AF15:AG16,"row")</f>
        <v>Solver Parameters::TBL[13]@11:51:01-20140424</v>
      </c>
      <c r="AO14" s="9" t="str">
        <f ca="1"/>
        <v>Curves</v>
      </c>
      <c r="AP14" s="14" t="str">
        <f ca="1"/>
        <v>Spine Curves::TBL[33(1,1)]@11:51:01-20140424</v>
      </c>
      <c r="AR14" s="9">
        <f ca="1"/>
        <v>10</v>
      </c>
      <c r="AS14" s="9" t="str">
        <f ca="1"/>
        <v>Swaps</v>
      </c>
      <c r="AT14" s="9" t="str">
        <f ca="1"/>
        <v>3Y</v>
      </c>
      <c r="AU14" s="9">
        <f ca="1"/>
        <v>3.0027397260273974</v>
      </c>
      <c r="AV14" s="9">
        <f ca="1"/>
        <v>8.1051537091156201E-2</v>
      </c>
      <c r="AW14" s="9">
        <f ca="1"/>
        <v>0</v>
      </c>
      <c r="AX14" s="9">
        <f ca="1"/>
        <v>0.92214616548895367</v>
      </c>
    </row>
    <row r="15" spans="2:50" x14ac:dyDescent="0.2">
      <c r="B15" s="6" t="s">
        <v>69</v>
      </c>
      <c r="C15" s="10">
        <f ca="1">C13</f>
        <v>40003</v>
      </c>
      <c r="E15" s="27"/>
      <c r="F15" s="27"/>
      <c r="G15" s="27"/>
      <c r="H15" s="27"/>
      <c r="N15" s="20" t="s">
        <v>70</v>
      </c>
      <c r="O15" s="21">
        <v>-3.3E-3</v>
      </c>
      <c r="P15" s="22">
        <v>40003</v>
      </c>
      <c r="Q15" s="22">
        <v>43655</v>
      </c>
      <c r="S15" s="22"/>
      <c r="T15" s="21"/>
      <c r="U15" s="20"/>
      <c r="V15" s="22"/>
      <c r="X15" s="9" t="s">
        <v>62</v>
      </c>
      <c r="Y15" s="9"/>
      <c r="Z15" s="24">
        <v>1.725E-3</v>
      </c>
      <c r="AA15" s="24">
        <v>1.725E-3</v>
      </c>
      <c r="AB15" s="24">
        <v>0</v>
      </c>
      <c r="AC15" s="24">
        <v>8.4999999999999995E-4</v>
      </c>
      <c r="AD15" s="24">
        <v>1E-3</v>
      </c>
      <c r="AF15" s="19" t="s">
        <v>71</v>
      </c>
      <c r="AG15" s="28">
        <v>1</v>
      </c>
      <c r="AH15" s="29"/>
      <c r="AR15" s="9">
        <f ca="1"/>
        <v>11</v>
      </c>
      <c r="AS15" s="9" t="str">
        <f ca="1"/>
        <v>Swaps</v>
      </c>
      <c r="AT15" s="9" t="str">
        <f ca="1"/>
        <v>4Y</v>
      </c>
      <c r="AU15" s="9">
        <f ca="1"/>
        <v>4.0027397260273974</v>
      </c>
      <c r="AV15" s="9">
        <f ca="1"/>
        <v>0.12794113959773651</v>
      </c>
      <c r="AW15" s="9">
        <f ca="1"/>
        <v>0</v>
      </c>
      <c r="AX15" s="9">
        <f ca="1"/>
        <v>0.87990516919264972</v>
      </c>
    </row>
    <row r="16" spans="2:50" x14ac:dyDescent="0.2">
      <c r="B16" s="6" t="s">
        <v>72</v>
      </c>
      <c r="C16" s="7" t="s">
        <v>73</v>
      </c>
      <c r="E16" s="27"/>
      <c r="F16" s="27"/>
      <c r="G16" s="27"/>
      <c r="H16" s="27"/>
      <c r="N16" s="20" t="s">
        <v>74</v>
      </c>
      <c r="O16" s="21">
        <v>-3.0999999999999999E-3</v>
      </c>
      <c r="P16" s="22">
        <v>40003</v>
      </c>
      <c r="Q16" s="22">
        <v>44386</v>
      </c>
      <c r="S16" s="22"/>
      <c r="T16" s="21"/>
      <c r="U16" s="20"/>
      <c r="V16" s="22"/>
      <c r="X16" s="9" t="s">
        <v>70</v>
      </c>
      <c r="Y16" s="9"/>
      <c r="Z16" s="24">
        <v>1.4250000000000001E-3</v>
      </c>
      <c r="AA16" s="24">
        <v>1.4250000000000001E-3</v>
      </c>
      <c r="AB16" s="24">
        <v>0</v>
      </c>
      <c r="AC16" s="24">
        <v>7.7499999999999997E-4</v>
      </c>
      <c r="AD16" s="24">
        <v>8.4999999999999995E-4</v>
      </c>
      <c r="AF16" s="19" t="s">
        <v>75</v>
      </c>
      <c r="AG16" s="28">
        <v>0</v>
      </c>
      <c r="AH16" s="29"/>
      <c r="AO16" s="9" t="str">
        <f t="array" aca="1" ref="AO16:AP22" ca="1">_xll.LTTbl_Get(AP14,"r")</f>
        <v>Base Rate</v>
      </c>
      <c r="AP16" s="14" t="str">
        <f ca="1"/>
        <v>Knot-points::TBL[46(1,0)]@11:51:01-20140424</v>
      </c>
      <c r="AR16" s="9">
        <f ca="1"/>
        <v>12</v>
      </c>
      <c r="AS16" s="9" t="str">
        <f ca="1"/>
        <v>Swaps</v>
      </c>
      <c r="AT16" s="9" t="str">
        <f ca="1"/>
        <v>5Y</v>
      </c>
      <c r="AU16" s="9">
        <f ca="1"/>
        <v>5.0027397260273974</v>
      </c>
      <c r="AV16" s="9">
        <f ca="1"/>
        <v>0.17591192028772545</v>
      </c>
      <c r="AW16" s="9">
        <f ca="1"/>
        <v>0</v>
      </c>
      <c r="AX16" s="9">
        <f ca="1"/>
        <v>0.83869185182086425</v>
      </c>
    </row>
    <row r="17" spans="2:50" x14ac:dyDescent="0.2">
      <c r="B17" s="6" t="s">
        <v>76</v>
      </c>
      <c r="C17" s="7" t="s">
        <v>77</v>
      </c>
      <c r="N17" s="20" t="s">
        <v>78</v>
      </c>
      <c r="O17" s="21">
        <v>-2.2499999999999998E-3</v>
      </c>
      <c r="P17" s="22">
        <v>40003</v>
      </c>
      <c r="Q17" s="22">
        <v>45482</v>
      </c>
      <c r="S17" s="22"/>
      <c r="T17" s="21"/>
      <c r="U17" s="20"/>
      <c r="V17" s="22"/>
      <c r="X17" s="9" t="s">
        <v>78</v>
      </c>
      <c r="Y17" s="9"/>
      <c r="Z17" s="24">
        <v>1.175E-3</v>
      </c>
      <c r="AA17" s="24">
        <v>1.175E-3</v>
      </c>
      <c r="AB17" s="24">
        <v>0</v>
      </c>
      <c r="AC17" s="24">
        <v>7.2499999999999995E-4</v>
      </c>
      <c r="AD17" s="24">
        <v>7.2499999999999995E-4</v>
      </c>
      <c r="AH17" s="29"/>
      <c r="AO17" s="9" t="str">
        <f ca="1"/>
        <v>Funding</v>
      </c>
      <c r="AP17" s="14" t="str">
        <f ca="1"/>
        <v>Knot-points::TBL[46(1,1)]@11:51:01-20140424</v>
      </c>
      <c r="AR17" s="9">
        <f ca="1"/>
        <v>13</v>
      </c>
      <c r="AS17" s="9" t="str">
        <f ca="1"/>
        <v>Swaps</v>
      </c>
      <c r="AT17" s="9" t="str">
        <f ca="1"/>
        <v>6Y</v>
      </c>
      <c r="AU17" s="9">
        <f ca="1"/>
        <v>6.0027397260273974</v>
      </c>
      <c r="AV17" s="9">
        <f ca="1"/>
        <v>0.22458943085940411</v>
      </c>
      <c r="AW17" s="9">
        <f ca="1"/>
        <v>0</v>
      </c>
      <c r="AX17" s="9">
        <f ca="1"/>
        <v>0.79884413218802597</v>
      </c>
    </row>
    <row r="18" spans="2:50" x14ac:dyDescent="0.2">
      <c r="B18" s="6" t="s">
        <v>79</v>
      </c>
      <c r="C18" s="7" t="s">
        <v>80</v>
      </c>
      <c r="E18" s="1" t="s">
        <v>38</v>
      </c>
      <c r="F18" s="1" t="str">
        <f ca="1">_xll.LTTbl_Create(E18,E19:I30)</f>
        <v>Futures::TBL[17]@11:51:01-20140424</v>
      </c>
      <c r="N18" s="20" t="s">
        <v>81</v>
      </c>
      <c r="O18" s="21">
        <v>-1.5E-3</v>
      </c>
      <c r="P18" s="22">
        <v>40003</v>
      </c>
      <c r="Q18" s="22">
        <v>47308</v>
      </c>
      <c r="S18" s="22"/>
      <c r="T18" s="21"/>
      <c r="U18" s="20"/>
      <c r="V18" s="22"/>
      <c r="X18" s="9" t="s">
        <v>81</v>
      </c>
      <c r="Y18" s="9"/>
      <c r="Z18" s="24">
        <v>1.0499999999999999E-3</v>
      </c>
      <c r="AA18" s="24">
        <v>1.0499999999999999E-3</v>
      </c>
      <c r="AB18" s="24">
        <v>0</v>
      </c>
      <c r="AC18" s="24">
        <v>6.9999999999999999E-4</v>
      </c>
      <c r="AD18" s="24">
        <v>6.4999999999999997E-4</v>
      </c>
      <c r="AF18" s="26" t="str">
        <f ca="1">B6</f>
        <v>Model</v>
      </c>
      <c r="AG18" s="4" t="str">
        <f ca="1">_xll.LTTbl_Create(AF18,AF19:AG24,"row")</f>
        <v>Model::TBL[10]@11:51:01-20140424</v>
      </c>
      <c r="AH18" s="29"/>
      <c r="AO18" s="9" t="str">
        <f ca="1"/>
        <v>ON</v>
      </c>
      <c r="AP18" s="14" t="str">
        <f ca="1"/>
        <v>Knot-points::TBL[46(1,2)]@11:51:01-20140424</v>
      </c>
      <c r="AR18" s="9">
        <f ca="1"/>
        <v>14</v>
      </c>
      <c r="AS18" s="9" t="str">
        <f ca="1"/>
        <v>Swaps</v>
      </c>
      <c r="AT18" s="9" t="str">
        <f ca="1"/>
        <v>7Y</v>
      </c>
      <c r="AU18" s="9">
        <f ca="1"/>
        <v>7.0109589041095894</v>
      </c>
      <c r="AV18" s="9">
        <f ca="1"/>
        <v>0.27381698816349886</v>
      </c>
      <c r="AW18" s="9">
        <f ca="1"/>
        <v>0</v>
      </c>
      <c r="AX18" s="9">
        <f ca="1"/>
        <v>0.7604712377641305</v>
      </c>
    </row>
    <row r="19" spans="2:50" x14ac:dyDescent="0.2">
      <c r="E19" s="15" t="s">
        <v>83</v>
      </c>
      <c r="F19" s="15" t="s">
        <v>84</v>
      </c>
      <c r="G19" s="15" t="s">
        <v>85</v>
      </c>
      <c r="H19" s="15" t="s">
        <v>23</v>
      </c>
      <c r="I19" s="15" t="s">
        <v>21</v>
      </c>
      <c r="N19" s="20" t="s">
        <v>86</v>
      </c>
      <c r="O19" s="21">
        <v>-1.2999999999999999E-3</v>
      </c>
      <c r="P19" s="22">
        <v>40003</v>
      </c>
      <c r="Q19" s="22">
        <v>49135</v>
      </c>
      <c r="S19" s="22"/>
      <c r="T19" s="21"/>
      <c r="U19" s="20"/>
      <c r="V19" s="22"/>
      <c r="X19" s="9" t="s">
        <v>87</v>
      </c>
      <c r="Y19" s="9"/>
      <c r="Z19" s="24">
        <v>9.2500000000000004E-4</v>
      </c>
      <c r="AA19" s="24">
        <v>9.2500000000000004E-4</v>
      </c>
      <c r="AB19" s="24">
        <v>0</v>
      </c>
      <c r="AC19" s="24">
        <v>6.9999999999999999E-4</v>
      </c>
      <c r="AD19" s="24">
        <v>5.9999999999999995E-4</v>
      </c>
      <c r="AF19" s="19" t="s">
        <v>88</v>
      </c>
      <c r="AG19" s="30">
        <v>1</v>
      </c>
      <c r="AH19" s="29"/>
      <c r="AO19" s="9" t="str">
        <f ca="1"/>
        <v>1M</v>
      </c>
      <c r="AP19" s="14" t="str">
        <f ca="1"/>
        <v>Knot-points::TBL[46(1,3)]@11:51:01-20140424</v>
      </c>
      <c r="AR19" s="9">
        <f ca="1"/>
        <v>15</v>
      </c>
      <c r="AS19" s="9" t="str">
        <f ca="1"/>
        <v>Swaps</v>
      </c>
      <c r="AT19" s="9" t="str">
        <f ca="1"/>
        <v>8Y</v>
      </c>
      <c r="AU19" s="9">
        <f ca="1"/>
        <v>8.0082191780821912</v>
      </c>
      <c r="AV19" s="9">
        <f ca="1"/>
        <v>0.32274770318407203</v>
      </c>
      <c r="AW19" s="9">
        <f ca="1"/>
        <v>0</v>
      </c>
      <c r="AX19" s="9">
        <f ca="1"/>
        <v>0.72415653370992661</v>
      </c>
    </row>
    <row r="20" spans="2:50" x14ac:dyDescent="0.2">
      <c r="B20" s="1" t="s">
        <v>11</v>
      </c>
      <c r="C20" s="4" t="str">
        <f ca="1">_xll.LTTbl_Create(B20,B21:C30,"row")</f>
        <v>Curve Parameters::TBL[9]@11:51:01-20140424</v>
      </c>
      <c r="E20" s="31">
        <v>41526</v>
      </c>
      <c r="F20" s="21">
        <v>0.99019999999999997</v>
      </c>
      <c r="G20" s="21">
        <v>1.7640000000000001E-5</v>
      </c>
      <c r="H20" s="22">
        <v>40072</v>
      </c>
      <c r="I20" s="22">
        <v>40163</v>
      </c>
      <c r="N20" s="20" t="s">
        <v>87</v>
      </c>
      <c r="O20" s="21">
        <v>-1.1000000000000001E-3</v>
      </c>
      <c r="P20" s="22">
        <v>40003</v>
      </c>
      <c r="Q20" s="22">
        <v>50962</v>
      </c>
      <c r="X20" s="9" t="s">
        <v>89</v>
      </c>
      <c r="Y20" s="9"/>
      <c r="Z20" s="24">
        <v>9.2500000000000004E-4</v>
      </c>
      <c r="AA20" s="24">
        <v>9.2500000000000004E-4</v>
      </c>
      <c r="AB20" s="24">
        <v>0</v>
      </c>
      <c r="AC20" s="24">
        <v>6.9999999999999999E-4</v>
      </c>
      <c r="AD20" s="24">
        <v>5.9999999999999995E-4</v>
      </c>
      <c r="AF20" s="19" t="s">
        <v>90</v>
      </c>
      <c r="AG20" s="30">
        <v>1</v>
      </c>
      <c r="AH20" s="29"/>
      <c r="AO20" s="9" t="str">
        <f ca="1"/>
        <v>6M</v>
      </c>
      <c r="AP20" s="14" t="str">
        <f ca="1"/>
        <v>Knot-points::TBL[46(1,4)]@11:51:01-20140424</v>
      </c>
      <c r="AR20" s="9">
        <f ca="1"/>
        <v>16</v>
      </c>
      <c r="AS20" s="9" t="str">
        <f ca="1"/>
        <v>Swaps</v>
      </c>
      <c r="AT20" s="9" t="str">
        <f ca="1"/>
        <v>9Y</v>
      </c>
      <c r="AU20" s="9">
        <f ca="1"/>
        <v>9.0054794520547947</v>
      </c>
      <c r="AV20" s="9">
        <f ca="1"/>
        <v>0.37210429960022745</v>
      </c>
      <c r="AW20" s="9">
        <f ca="1"/>
        <v>0</v>
      </c>
      <c r="AX20" s="9">
        <f ca="1"/>
        <v>0.68928234690171952</v>
      </c>
    </row>
    <row r="21" spans="2:50" x14ac:dyDescent="0.2">
      <c r="B21" s="6" t="s">
        <v>91</v>
      </c>
      <c r="C21" s="7" t="str">
        <f ca="1">C17</f>
        <v>EUR</v>
      </c>
      <c r="E21" s="31">
        <v>41617</v>
      </c>
      <c r="F21" s="21">
        <v>0.98819999999999997</v>
      </c>
      <c r="G21" s="21">
        <v>4.3980000000000002E-5</v>
      </c>
      <c r="H21" s="22">
        <v>40163</v>
      </c>
      <c r="I21" s="22">
        <v>40253</v>
      </c>
      <c r="N21" s="20" t="s">
        <v>89</v>
      </c>
      <c r="O21" s="21">
        <v>-1E-3</v>
      </c>
      <c r="P21" s="22">
        <v>40003</v>
      </c>
      <c r="Q21" s="22">
        <v>54613</v>
      </c>
      <c r="X21" s="9" t="s">
        <v>92</v>
      </c>
      <c r="Y21" s="9"/>
      <c r="Z21" s="24">
        <v>9.2500000000000004E-4</v>
      </c>
      <c r="AA21" s="24">
        <v>9.2500000000000004E-4</v>
      </c>
      <c r="AB21" s="24">
        <v>0</v>
      </c>
      <c r="AC21" s="24">
        <v>6.9999999999999999E-4</v>
      </c>
      <c r="AD21" s="24">
        <v>5.9999999999999995E-4</v>
      </c>
      <c r="AF21" s="19" t="s">
        <v>93</v>
      </c>
      <c r="AG21" s="30">
        <v>1</v>
      </c>
      <c r="AH21" s="29"/>
      <c r="AO21" s="9" t="str">
        <f ca="1"/>
        <v>1Y</v>
      </c>
      <c r="AP21" s="14" t="str">
        <f ca="1"/>
        <v>Knot-points::TBL[46(1,5)]@11:51:01-20140424</v>
      </c>
      <c r="AR21" s="9">
        <f ca="1"/>
        <v>17</v>
      </c>
      <c r="AS21" s="9" t="str">
        <f ca="1"/>
        <v>Swaps</v>
      </c>
      <c r="AT21" s="9" t="str">
        <f ca="1"/>
        <v>10Y</v>
      </c>
      <c r="AU21" s="9">
        <f ca="1"/>
        <v>10.005479452054795</v>
      </c>
      <c r="AV21" s="9">
        <f ca="1"/>
        <v>0.42127028506988373</v>
      </c>
      <c r="AW21" s="9">
        <f ca="1"/>
        <v>0</v>
      </c>
      <c r="AX21" s="9">
        <f ca="1"/>
        <v>0.65621271293854833</v>
      </c>
    </row>
    <row r="22" spans="2:50" x14ac:dyDescent="0.2">
      <c r="B22" s="6" t="s">
        <v>94</v>
      </c>
      <c r="C22" s="7" t="str">
        <f ca="1">C18</f>
        <v>EURIB</v>
      </c>
      <c r="E22" s="31">
        <v>41343</v>
      </c>
      <c r="F22" s="21">
        <v>0.98560000000000003</v>
      </c>
      <c r="G22" s="21">
        <v>7.4549999999999996E-5</v>
      </c>
      <c r="H22" s="22">
        <v>40254</v>
      </c>
      <c r="I22" s="22">
        <v>40346</v>
      </c>
      <c r="N22" s="20"/>
      <c r="O22" s="21"/>
      <c r="P22" s="22"/>
      <c r="Q22" s="22"/>
      <c r="X22" s="9" t="s">
        <v>95</v>
      </c>
      <c r="Y22" s="9"/>
      <c r="Z22" s="24">
        <v>9.2500000000000004E-4</v>
      </c>
      <c r="AA22" s="24">
        <v>9.2500000000000004E-4</v>
      </c>
      <c r="AB22" s="24">
        <v>0</v>
      </c>
      <c r="AC22" s="24">
        <v>6.9999999999999999E-4</v>
      </c>
      <c r="AD22" s="24">
        <v>5.9999999999999995E-4</v>
      </c>
      <c r="AF22" s="19" t="s">
        <v>96</v>
      </c>
      <c r="AG22" s="30">
        <v>1</v>
      </c>
      <c r="AH22" s="29"/>
      <c r="AO22" s="9" t="str">
        <f ca="1"/>
        <v>Structure</v>
      </c>
      <c r="AP22" s="14" t="str">
        <f ca="1"/>
        <v>Structure Spine Curve::TBL[47(1,6)]@11:51:01-20140424</v>
      </c>
      <c r="AR22" s="9">
        <f ca="1"/>
        <v>18</v>
      </c>
      <c r="AS22" s="9" t="str">
        <f ca="1"/>
        <v>Swaps</v>
      </c>
      <c r="AT22" s="9" t="str">
        <f ca="1"/>
        <v>12Y</v>
      </c>
      <c r="AU22" s="9">
        <f ca="1"/>
        <v>12.008219178082191</v>
      </c>
      <c r="AV22" s="9">
        <f ca="1"/>
        <v>0.51792637852864087</v>
      </c>
      <c r="AW22" s="9">
        <f ca="1"/>
        <v>0</v>
      </c>
      <c r="AX22" s="9">
        <f ca="1"/>
        <v>0.5957546376188203</v>
      </c>
    </row>
    <row r="23" spans="2:50" x14ac:dyDescent="0.2">
      <c r="B23" s="6" t="s">
        <v>97</v>
      </c>
      <c r="C23" s="32">
        <v>0</v>
      </c>
      <c r="E23" s="31">
        <v>41435</v>
      </c>
      <c r="F23" s="21">
        <v>0.98150000000000004</v>
      </c>
      <c r="G23" s="21">
        <v>1.0936E-4</v>
      </c>
      <c r="H23" s="22">
        <v>40345</v>
      </c>
      <c r="I23" s="22">
        <v>40437</v>
      </c>
      <c r="M23" s="33"/>
      <c r="N23" s="20"/>
      <c r="O23" s="21"/>
      <c r="P23" s="22"/>
      <c r="Q23" s="22"/>
      <c r="X23" s="9"/>
      <c r="Y23" s="9"/>
      <c r="Z23" s="24"/>
      <c r="AA23" s="24"/>
      <c r="AB23" s="24"/>
      <c r="AC23" s="24"/>
      <c r="AD23" s="24"/>
      <c r="AF23" s="19" t="s">
        <v>98</v>
      </c>
      <c r="AG23" s="30">
        <v>1</v>
      </c>
      <c r="AH23" s="29"/>
      <c r="AR23" s="9">
        <f ca="1"/>
        <v>19</v>
      </c>
      <c r="AS23" s="9" t="str">
        <f ca="1"/>
        <v>Swaps</v>
      </c>
      <c r="AT23" s="9" t="str">
        <f ca="1"/>
        <v>15Y</v>
      </c>
      <c r="AU23" s="9">
        <f ca="1"/>
        <v>15.010958904109589</v>
      </c>
      <c r="AV23" s="9">
        <f ca="1"/>
        <v>0.67632350541763586</v>
      </c>
      <c r="AW23" s="9">
        <f ca="1"/>
        <v>0</v>
      </c>
      <c r="AX23" s="9">
        <f ca="1"/>
        <v>0.50848299506592876</v>
      </c>
    </row>
    <row r="24" spans="2:50" x14ac:dyDescent="0.2">
      <c r="B24" s="6" t="s">
        <v>99</v>
      </c>
      <c r="C24" s="10" t="s">
        <v>100</v>
      </c>
      <c r="E24" s="31">
        <v>41527</v>
      </c>
      <c r="F24" s="21">
        <v>0.97699999999999998</v>
      </c>
      <c r="G24" s="21">
        <v>1.4841E-4</v>
      </c>
      <c r="H24" s="22">
        <v>40436</v>
      </c>
      <c r="I24" s="22">
        <v>40527</v>
      </c>
      <c r="M24" s="33"/>
      <c r="X24" s="9"/>
      <c r="Y24" s="9"/>
      <c r="Z24" s="24"/>
      <c r="AA24" s="24"/>
      <c r="AB24" s="24"/>
      <c r="AC24" s="24"/>
      <c r="AD24" s="24"/>
      <c r="AF24" s="19" t="s">
        <v>101</v>
      </c>
      <c r="AG24" s="30">
        <v>1</v>
      </c>
      <c r="AH24" s="29"/>
      <c r="AR24" s="9">
        <f ca="1"/>
        <v>20</v>
      </c>
      <c r="AS24" s="9" t="str">
        <f ca="1"/>
        <v>Swaps</v>
      </c>
      <c r="AT24" s="9" t="str">
        <f ca="1"/>
        <v>20Y</v>
      </c>
      <c r="AU24" s="9">
        <f ca="1"/>
        <v>20.013698630136986</v>
      </c>
      <c r="AV24" s="9">
        <f ca="1"/>
        <v>0.88467696095459669</v>
      </c>
      <c r="AW24" s="9">
        <f ca="1"/>
        <v>0</v>
      </c>
      <c r="AX24" s="9">
        <f ca="1"/>
        <v>0.41284751760816296</v>
      </c>
    </row>
    <row r="25" spans="2:50" x14ac:dyDescent="0.2">
      <c r="B25" s="6" t="s">
        <v>102</v>
      </c>
      <c r="C25" s="10"/>
      <c r="E25" s="31">
        <v>41618</v>
      </c>
      <c r="F25" s="21">
        <v>0.97199999999999998</v>
      </c>
      <c r="G25" s="21">
        <v>1.917E-4</v>
      </c>
      <c r="H25" s="22">
        <v>40527</v>
      </c>
      <c r="I25" s="22">
        <v>40617</v>
      </c>
      <c r="M25" s="33"/>
      <c r="AH25" s="29"/>
      <c r="AR25" s="9">
        <f ca="1"/>
        <v>21</v>
      </c>
      <c r="AS25" s="9" t="str">
        <f ca="1"/>
        <v>Swaps</v>
      </c>
      <c r="AT25" s="9" t="str">
        <f ca="1"/>
        <v>25Y</v>
      </c>
      <c r="AU25" s="9">
        <f ca="1"/>
        <v>25.019178082191782</v>
      </c>
      <c r="AV25" s="9">
        <f ca="1"/>
        <v>1.0704857360066382</v>
      </c>
      <c r="AW25" s="9">
        <f ca="1"/>
        <v>0</v>
      </c>
      <c r="AX25" s="9">
        <f ca="1"/>
        <v>0.34284194628928549</v>
      </c>
    </row>
    <row r="26" spans="2:50" x14ac:dyDescent="0.2">
      <c r="B26" s="6" t="s">
        <v>103</v>
      </c>
      <c r="C26" s="10" t="s">
        <v>44</v>
      </c>
      <c r="E26" s="31">
        <v>41344</v>
      </c>
      <c r="F26" s="21">
        <v>0.96779999999999999</v>
      </c>
      <c r="G26" s="21">
        <v>2.3923E-4</v>
      </c>
      <c r="H26" s="22">
        <v>40618</v>
      </c>
      <c r="I26" s="22">
        <v>40710</v>
      </c>
      <c r="M26" s="33"/>
      <c r="X26" s="34" t="s">
        <v>104</v>
      </c>
      <c r="Y26" s="1" t="str">
        <f ca="1">_xll.LTTbl_Create(X26,X27:Y29,"row")</f>
        <v>TenorBasis::TBL[27]@11:51:01-20140424</v>
      </c>
      <c r="AG26" s="35" t="s">
        <v>105</v>
      </c>
      <c r="AH26" s="35" t="str">
        <f ca="1">_xll.LTTbl_Create(AG26,AG27:AL28)</f>
        <v>Curve Interpolation::TBL[25]@11:51:01-20140424</v>
      </c>
      <c r="AI26" s="35"/>
      <c r="AJ26" s="35"/>
      <c r="AK26" s="35"/>
      <c r="AL26" s="35"/>
      <c r="AM26" s="57"/>
      <c r="AR26" s="9">
        <f ca="1"/>
        <v>22</v>
      </c>
      <c r="AS26" s="9" t="str">
        <f ca="1"/>
        <v>Swaps</v>
      </c>
      <c r="AT26" s="9" t="str">
        <f ca="1"/>
        <v>30Y</v>
      </c>
      <c r="AU26" s="9">
        <f ca="1"/>
        <v>30.024657534246575</v>
      </c>
      <c r="AV26" s="9">
        <f ca="1"/>
        <v>1.2573878259087397</v>
      </c>
      <c r="AW26" s="9">
        <f ca="1"/>
        <v>0</v>
      </c>
      <c r="AX26" s="9">
        <f ca="1"/>
        <v>0.28439594879189672</v>
      </c>
    </row>
    <row r="27" spans="2:50" x14ac:dyDescent="0.2">
      <c r="B27" s="6" t="s">
        <v>106</v>
      </c>
      <c r="C27" s="10" t="s">
        <v>107</v>
      </c>
      <c r="E27" s="31">
        <v>41436</v>
      </c>
      <c r="F27" s="21">
        <v>0.96360000000000001</v>
      </c>
      <c r="G27" s="21">
        <v>2.9098999999999998E-4</v>
      </c>
      <c r="H27" s="22">
        <v>40709</v>
      </c>
      <c r="I27" s="22">
        <v>40801</v>
      </c>
      <c r="M27" s="33"/>
      <c r="X27" s="6" t="str">
        <f ca="1">X5</f>
        <v>Maturity</v>
      </c>
      <c r="Y27" s="36" t="str">
        <f ca="1">X4</f>
        <v>Maturity::TBL[11]@11:51:01-20140424</v>
      </c>
      <c r="AF27" s="19"/>
      <c r="AG27" s="19" t="s">
        <v>108</v>
      </c>
      <c r="AH27" s="19" t="s">
        <v>82</v>
      </c>
      <c r="AI27" s="19" t="s">
        <v>35</v>
      </c>
      <c r="AJ27" s="19" t="s">
        <v>31</v>
      </c>
      <c r="AK27" s="19" t="s">
        <v>44</v>
      </c>
      <c r="AL27" s="19" t="s">
        <v>34</v>
      </c>
      <c r="AM27"/>
      <c r="AR27" s="9">
        <f ca="1"/>
        <v>23</v>
      </c>
      <c r="AS27" s="9" t="str">
        <f ca="1"/>
        <v>Swaps</v>
      </c>
      <c r="AT27" s="9" t="str">
        <f ca="1"/>
        <v>40Y</v>
      </c>
      <c r="AU27" s="9">
        <f ca="1"/>
        <v>40.027397260273972</v>
      </c>
      <c r="AV27" s="9">
        <f ca="1"/>
        <v>1.6580811268900484</v>
      </c>
      <c r="AW27" s="9">
        <f ca="1"/>
        <v>0</v>
      </c>
      <c r="AX27" s="9">
        <f ca="1"/>
        <v>0.19050418295449945</v>
      </c>
    </row>
    <row r="28" spans="2:50" x14ac:dyDescent="0.2">
      <c r="B28" s="6" t="s">
        <v>109</v>
      </c>
      <c r="C28" s="10" t="s">
        <v>100</v>
      </c>
      <c r="E28" s="27"/>
      <c r="F28" s="27"/>
      <c r="G28" s="27"/>
      <c r="H28" s="27"/>
      <c r="I28" s="27"/>
      <c r="M28" s="33"/>
      <c r="X28" s="6" t="str">
        <f ca="1">Y5</f>
        <v>Tenor</v>
      </c>
      <c r="Y28" s="36" t="str">
        <f ca="1">Y4</f>
        <v>Tenor::TBL[15]@11:51:01-20140424</v>
      </c>
      <c r="AF28" s="9"/>
      <c r="AG28" s="27" t="str">
        <f ca="1">_xll.LTTbl_Create(AG27,AG29:AJ30)</f>
        <v>Discount::TBL[23]@11:51:01-20140424</v>
      </c>
      <c r="AH28" s="27" t="str">
        <f ca="1">_xll.LTTbl_Create(AH27,AG31:AJ32)</f>
        <v>ON::TBL[21]@11:51:01-20140424</v>
      </c>
      <c r="AI28" s="27" t="str">
        <f ca="1">_xll.LTTbl_Create(AI27,AG33:AJ34)</f>
        <v>1M::TBL[20]@11:51:01-20140424</v>
      </c>
      <c r="AJ28" s="27" t="str">
        <f ca="1">_xll.LTTbl_Create(AJ27,AG35:AJ36)</f>
        <v>3M::TBL[19]@11:51:01-20140424</v>
      </c>
      <c r="AK28" s="27" t="str">
        <f ca="1">_xll.LTTbl_Create(AK27,AG37:AJ38)</f>
        <v>6M::TBL[12]@11:51:01-20140424</v>
      </c>
      <c r="AL28" s="27" t="str">
        <f ca="1">_xll.LTTbl_Create(AL27,AG39:AJ40)</f>
        <v>1Y::TBL[24]@11:51:01-20140424</v>
      </c>
      <c r="AM28"/>
      <c r="AR28" s="9">
        <f ca="1"/>
        <v>24</v>
      </c>
      <c r="AS28" s="9" t="str">
        <f ca="1"/>
        <v>Swaps</v>
      </c>
      <c r="AT28" s="9" t="str">
        <f ca="1"/>
        <v>50Y</v>
      </c>
      <c r="AU28" s="9">
        <f ca="1"/>
        <v>50.032876712328765</v>
      </c>
      <c r="AV28" s="9">
        <f ca="1"/>
        <v>2.1619080298412965</v>
      </c>
      <c r="AW28" s="9">
        <f ca="1"/>
        <v>0</v>
      </c>
      <c r="AX28" s="9">
        <f ca="1"/>
        <v>0.11510528705726208</v>
      </c>
    </row>
    <row r="29" spans="2:50" x14ac:dyDescent="0.2">
      <c r="B29" s="6" t="s">
        <v>110</v>
      </c>
      <c r="C29" s="10" t="s">
        <v>31</v>
      </c>
      <c r="E29" s="27"/>
      <c r="F29" s="27"/>
      <c r="G29" s="27"/>
      <c r="H29" s="27"/>
      <c r="I29" s="27"/>
      <c r="M29" s="33"/>
      <c r="X29" s="6" t="str">
        <f ca="1">Z5</f>
        <v>Values</v>
      </c>
      <c r="Y29" s="36" t="str">
        <f ca="1">Z4</f>
        <v>Values::TBL[6]@11:51:01-20140424</v>
      </c>
      <c r="AF29" s="9" t="str">
        <f ca="1">AG27</f>
        <v>Discount</v>
      </c>
      <c r="AG29" s="27" t="s">
        <v>111</v>
      </c>
      <c r="AH29" s="27" t="s">
        <v>112</v>
      </c>
      <c r="AI29" s="27" t="s">
        <v>113</v>
      </c>
      <c r="AJ29" s="27" t="s">
        <v>114</v>
      </c>
      <c r="AK29" s="27" t="s">
        <v>111</v>
      </c>
      <c r="AL29" s="27" t="s">
        <v>115</v>
      </c>
      <c r="AM29"/>
    </row>
    <row r="30" spans="2:50" x14ac:dyDescent="0.2">
      <c r="B30" s="6" t="s">
        <v>116</v>
      </c>
      <c r="C30" s="10"/>
      <c r="E30" s="27"/>
      <c r="F30" s="27"/>
      <c r="G30" s="27"/>
      <c r="H30" s="27"/>
      <c r="I30" s="27"/>
      <c r="M30" s="33"/>
      <c r="AF30" s="9"/>
      <c r="AG30" s="27" t="s">
        <v>117</v>
      </c>
      <c r="AH30" s="27" t="s">
        <v>118</v>
      </c>
      <c r="AI30" s="27" t="s">
        <v>119</v>
      </c>
      <c r="AJ30" s="27" t="str">
        <f ca="1">_xll.LTTbl_Create(,AK29:AL30)</f>
        <v>::TBL[22]@11:51:01-20140424</v>
      </c>
      <c r="AK30" s="27" t="s">
        <v>120</v>
      </c>
      <c r="AL30" s="27" t="s">
        <v>119</v>
      </c>
      <c r="AM30"/>
      <c r="AR30" s="1" t="str">
        <f ca="1">AO17</f>
        <v>Funding</v>
      </c>
    </row>
    <row r="31" spans="2:50" x14ac:dyDescent="0.2">
      <c r="M31" s="33"/>
      <c r="AF31" s="9" t="str">
        <f ca="1">AH27</f>
        <v>ON</v>
      </c>
      <c r="AG31" s="27" t="s">
        <v>111</v>
      </c>
      <c r="AH31" s="27" t="s">
        <v>112</v>
      </c>
      <c r="AI31" s="27" t="s">
        <v>113</v>
      </c>
      <c r="AJ31" s="27" t="s">
        <v>114</v>
      </c>
      <c r="AK31" s="27" t="s">
        <v>111</v>
      </c>
      <c r="AL31" s="27" t="s">
        <v>115</v>
      </c>
      <c r="AM31"/>
      <c r="AR31" s="8" t="str">
        <f t="array" aca="1" ref="AR31:AX48" ca="1">_xll.LTTbl_Get(AP17)</f>
        <v>#</v>
      </c>
      <c r="AS31" s="8" t="str">
        <f ca="1"/>
        <v>Instrument</v>
      </c>
      <c r="AT31" s="8" t="str">
        <f ca="1"/>
        <v>Maturity</v>
      </c>
      <c r="AU31" s="8" t="str">
        <f ca="1"/>
        <v>x</v>
      </c>
      <c r="AV31" s="8" t="str">
        <f ca="1"/>
        <v>y</v>
      </c>
      <c r="AW31" s="8" t="str">
        <f ca="1"/>
        <v>Fixed?</v>
      </c>
      <c r="AX31" s="8" t="str">
        <f ca="1"/>
        <v>df</v>
      </c>
    </row>
    <row r="32" spans="2:50" x14ac:dyDescent="0.2">
      <c r="B32" s="1" t="str">
        <f ca="1">B5</f>
        <v>Instrument List</v>
      </c>
      <c r="C32" s="37" t="str">
        <f ca="1">_xll.LTTbl_Create(B32,B33:C38,"row")</f>
        <v>Instrument List::TBL[29]@11:51:01-20140424</v>
      </c>
      <c r="E32" s="1" t="s">
        <v>121</v>
      </c>
      <c r="F32" s="1" t="str">
        <f ca="1">_xll.LTTbl_Create(E32,E33:L51)</f>
        <v>Swap::TBL[8]@11:51:01-20140424</v>
      </c>
      <c r="M32" s="33"/>
      <c r="AF32" s="9"/>
      <c r="AG32" s="27" t="s">
        <v>117</v>
      </c>
      <c r="AH32" s="27" t="s">
        <v>118</v>
      </c>
      <c r="AI32" s="27" t="s">
        <v>119</v>
      </c>
      <c r="AJ32" s="27" t="str">
        <f ca="1">_xll.LTTbl_Create(,AK31:AL32)</f>
        <v>::TBL[7]@11:51:01-20140424</v>
      </c>
      <c r="AK32" s="27" t="s">
        <v>120</v>
      </c>
      <c r="AL32" s="27" t="s">
        <v>119</v>
      </c>
      <c r="AM32"/>
      <c r="AR32" s="9">
        <f ca="1"/>
        <v>0</v>
      </c>
      <c r="AS32" s="9" t="str">
        <f ca="1"/>
        <v>N.A.</v>
      </c>
      <c r="AT32" s="9" t="str">
        <f ca="1"/>
        <v>N.A.</v>
      </c>
      <c r="AU32" s="9">
        <f ca="1"/>
        <v>0</v>
      </c>
      <c r="AV32" s="9">
        <f ca="1"/>
        <v>0</v>
      </c>
      <c r="AW32" s="9">
        <f ca="1"/>
        <v>1</v>
      </c>
      <c r="AX32" s="9">
        <f ca="1"/>
        <v>1</v>
      </c>
    </row>
    <row r="33" spans="2:50" x14ac:dyDescent="0.2">
      <c r="B33" s="6" t="s">
        <v>12</v>
      </c>
      <c r="C33" s="7" t="str">
        <f ca="1">F4</f>
        <v>Cash::TBL[3]@11:51:01-20140424</v>
      </c>
      <c r="E33" s="15" t="s">
        <v>18</v>
      </c>
      <c r="F33" s="15" t="s">
        <v>19</v>
      </c>
      <c r="G33" s="15" t="s">
        <v>22</v>
      </c>
      <c r="H33" s="15" t="s">
        <v>23</v>
      </c>
      <c r="I33" s="15" t="s">
        <v>21</v>
      </c>
      <c r="J33" s="15" t="s">
        <v>122</v>
      </c>
      <c r="K33" s="15" t="s">
        <v>123</v>
      </c>
      <c r="L33" s="15" t="s">
        <v>124</v>
      </c>
      <c r="M33" s="33"/>
      <c r="AF33" s="9" t="str">
        <f ca="1">AI27</f>
        <v>1M</v>
      </c>
      <c r="AG33" s="27" t="s">
        <v>111</v>
      </c>
      <c r="AH33" s="27" t="s">
        <v>112</v>
      </c>
      <c r="AI33" s="27" t="s">
        <v>113</v>
      </c>
      <c r="AJ33" s="27" t="s">
        <v>114</v>
      </c>
      <c r="AK33" s="27" t="s">
        <v>111</v>
      </c>
      <c r="AL33" s="27" t="s">
        <v>115</v>
      </c>
      <c r="AM33"/>
      <c r="AR33" s="9">
        <f ca="1"/>
        <v>1</v>
      </c>
      <c r="AS33" s="9" t="str">
        <f ca="1"/>
        <v>Ccy Basis</v>
      </c>
      <c r="AT33" s="9" t="str">
        <f ca="1"/>
        <v>1Y</v>
      </c>
      <c r="AU33" s="9">
        <f ca="1"/>
        <v>1</v>
      </c>
      <c r="AV33" s="9">
        <f ca="1"/>
        <v>-3.6225874327573903E-3</v>
      </c>
      <c r="AW33" s="9">
        <f ca="1"/>
        <v>0</v>
      </c>
      <c r="AX33" s="9">
        <f ca="1"/>
        <v>1.0036291569330791</v>
      </c>
    </row>
    <row r="34" spans="2:50" x14ac:dyDescent="0.2">
      <c r="B34" s="6" t="s">
        <v>68</v>
      </c>
      <c r="C34" s="10" t="str">
        <f ca="1">F32</f>
        <v>Swap::TBL[8]@11:51:01-20140424</v>
      </c>
      <c r="E34" s="20" t="s">
        <v>40</v>
      </c>
      <c r="F34" s="21">
        <v>2.0899999999999998E-2</v>
      </c>
      <c r="G34" s="21">
        <v>0</v>
      </c>
      <c r="H34" s="22">
        <v>40003</v>
      </c>
      <c r="I34" s="22">
        <v>40735</v>
      </c>
      <c r="J34" s="21" t="s">
        <v>44</v>
      </c>
      <c r="K34" s="20" t="s">
        <v>44</v>
      </c>
      <c r="L34" s="22" t="s">
        <v>126</v>
      </c>
      <c r="M34" s="33"/>
      <c r="AF34" s="9"/>
      <c r="AG34" s="27" t="s">
        <v>117</v>
      </c>
      <c r="AH34" s="27" t="s">
        <v>118</v>
      </c>
      <c r="AI34" s="27" t="s">
        <v>119</v>
      </c>
      <c r="AJ34" s="27" t="str">
        <f ca="1">_xll.LTTbl_Create(,AK33:AL34)</f>
        <v>::TBL[5]@11:51:01-20140424</v>
      </c>
      <c r="AK34" s="27" t="s">
        <v>120</v>
      </c>
      <c r="AL34" s="27" t="s">
        <v>119</v>
      </c>
      <c r="AM34"/>
      <c r="AR34" s="9">
        <f ca="1"/>
        <v>2</v>
      </c>
      <c r="AS34" s="9" t="str">
        <f ca="1"/>
        <v>Ccy Basis</v>
      </c>
      <c r="AT34" s="9" t="str">
        <f ca="1"/>
        <v>2Y</v>
      </c>
      <c r="AU34" s="9">
        <f ca="1"/>
        <v>2.0054794520547947</v>
      </c>
      <c r="AV34" s="9">
        <f ca="1"/>
        <v>-7.2630795250405835E-3</v>
      </c>
      <c r="AW34" s="9">
        <f ca="1"/>
        <v>0</v>
      </c>
      <c r="AX34" s="9">
        <f ca="1"/>
        <v>1.0072895196606406</v>
      </c>
    </row>
    <row r="35" spans="2:50" x14ac:dyDescent="0.2">
      <c r="B35" s="6" t="s">
        <v>14</v>
      </c>
      <c r="C35" s="10" t="str">
        <f ca="1">T4</f>
        <v>Turns::TBL[18]@11:51:01-20140424</v>
      </c>
      <c r="E35" s="20" t="s">
        <v>43</v>
      </c>
      <c r="F35" s="21">
        <v>2.775E-2</v>
      </c>
      <c r="G35" s="21">
        <v>0</v>
      </c>
      <c r="H35" s="22">
        <v>40003</v>
      </c>
      <c r="I35" s="22">
        <v>41099</v>
      </c>
      <c r="J35" s="21" t="s">
        <v>44</v>
      </c>
      <c r="K35" s="20" t="s">
        <v>44</v>
      </c>
      <c r="L35" s="22" t="s">
        <v>126</v>
      </c>
      <c r="M35" s="33"/>
      <c r="AF35" s="9" t="str">
        <f ca="1">AJ27</f>
        <v>3M</v>
      </c>
      <c r="AG35" s="27" t="s">
        <v>111</v>
      </c>
      <c r="AH35" s="27" t="s">
        <v>112</v>
      </c>
      <c r="AI35" s="27" t="s">
        <v>113</v>
      </c>
      <c r="AJ35" s="27" t="s">
        <v>114</v>
      </c>
      <c r="AK35" s="27" t="s">
        <v>111</v>
      </c>
      <c r="AL35" s="27" t="s">
        <v>115</v>
      </c>
      <c r="AM35"/>
      <c r="AR35" s="9">
        <f ca="1"/>
        <v>3</v>
      </c>
      <c r="AS35" s="9" t="str">
        <f ca="1"/>
        <v>Ccy Basis</v>
      </c>
      <c r="AT35" s="9" t="str">
        <f ca="1"/>
        <v>3Y</v>
      </c>
      <c r="AU35" s="9">
        <f ca="1"/>
        <v>3.0027397260273974</v>
      </c>
      <c r="AV35" s="9">
        <f ca="1"/>
        <v>-1.0852769067064939E-2</v>
      </c>
      <c r="AW35" s="9">
        <f ca="1"/>
        <v>0</v>
      </c>
      <c r="AX35" s="9">
        <f ca="1"/>
        <v>1.0109118739891174</v>
      </c>
    </row>
    <row r="36" spans="2:50" x14ac:dyDescent="0.2">
      <c r="B36" s="6" t="s">
        <v>125</v>
      </c>
      <c r="C36" s="10" t="str">
        <f ca="1">O4</f>
        <v>CcySwaps::TBL[16]@11:51:01-20140424</v>
      </c>
      <c r="E36" s="20" t="s">
        <v>48</v>
      </c>
      <c r="F36" s="21">
        <v>3.2379999999999999E-2</v>
      </c>
      <c r="G36" s="21">
        <v>0</v>
      </c>
      <c r="H36" s="22">
        <v>40003</v>
      </c>
      <c r="I36" s="22">
        <v>41464</v>
      </c>
      <c r="J36" s="21" t="s">
        <v>44</v>
      </c>
      <c r="K36" s="20" t="s">
        <v>44</v>
      </c>
      <c r="L36" s="22" t="s">
        <v>126</v>
      </c>
      <c r="M36" s="33"/>
      <c r="AF36" s="9"/>
      <c r="AG36" s="27" t="s">
        <v>117</v>
      </c>
      <c r="AH36" s="27" t="s">
        <v>118</v>
      </c>
      <c r="AI36" s="27" t="s">
        <v>119</v>
      </c>
      <c r="AJ36" s="27" t="str">
        <f ca="1">_xll.LTTbl_Create(,AK35:AL36)</f>
        <v>::TBL[1]@11:51:01-20140424</v>
      </c>
      <c r="AK36" s="27" t="s">
        <v>120</v>
      </c>
      <c r="AL36" s="38" t="s">
        <v>127</v>
      </c>
      <c r="AM36"/>
      <c r="AR36" s="9">
        <f ca="1"/>
        <v>4</v>
      </c>
      <c r="AS36" s="9" t="str">
        <f ca="1"/>
        <v>Ccy Basis</v>
      </c>
      <c r="AT36" s="9" t="str">
        <f ca="1"/>
        <v>4Y</v>
      </c>
      <c r="AU36" s="9">
        <f ca="1"/>
        <v>4.0027397260273974</v>
      </c>
      <c r="AV36" s="9">
        <f ca="1"/>
        <v>-1.4670636325459141E-2</v>
      </c>
      <c r="AW36" s="9">
        <f ca="1"/>
        <v>0</v>
      </c>
      <c r="AX36" s="9">
        <f ca="1"/>
        <v>1.0147787783005893</v>
      </c>
    </row>
    <row r="37" spans="2:50" x14ac:dyDescent="0.2">
      <c r="B37" s="6" t="s">
        <v>38</v>
      </c>
      <c r="C37" s="10" t="str">
        <f ca="1">F18</f>
        <v>Futures::TBL[17]@11:51:01-20140424</v>
      </c>
      <c r="E37" s="20" t="s">
        <v>53</v>
      </c>
      <c r="F37" s="21">
        <v>3.533E-2</v>
      </c>
      <c r="G37" s="21">
        <v>0</v>
      </c>
      <c r="H37" s="22">
        <v>40003</v>
      </c>
      <c r="I37" s="22">
        <v>41829</v>
      </c>
      <c r="J37" s="21" t="s">
        <v>44</v>
      </c>
      <c r="K37" s="20" t="s">
        <v>44</v>
      </c>
      <c r="L37" s="22" t="s">
        <v>126</v>
      </c>
      <c r="M37" s="33"/>
      <c r="AF37" s="9" t="str">
        <f ca="1">AK27</f>
        <v>6M</v>
      </c>
      <c r="AG37" s="27" t="s">
        <v>111</v>
      </c>
      <c r="AH37" s="27" t="s">
        <v>112</v>
      </c>
      <c r="AI37" s="27" t="s">
        <v>113</v>
      </c>
      <c r="AJ37" s="27" t="s">
        <v>114</v>
      </c>
      <c r="AK37" s="27" t="s">
        <v>111</v>
      </c>
      <c r="AL37" s="27" t="s">
        <v>115</v>
      </c>
      <c r="AM37"/>
      <c r="AR37" s="9">
        <f ca="1"/>
        <v>5</v>
      </c>
      <c r="AS37" s="9" t="str">
        <f ca="1"/>
        <v>Ccy Basis</v>
      </c>
      <c r="AT37" s="9" t="str">
        <f ca="1"/>
        <v>5Y</v>
      </c>
      <c r="AU37" s="9">
        <f ca="1"/>
        <v>5.0027397260273974</v>
      </c>
      <c r="AV37" s="9">
        <f ca="1"/>
        <v>-1.832819770843705E-2</v>
      </c>
      <c r="AW37" s="9">
        <f ca="1"/>
        <v>0</v>
      </c>
      <c r="AX37" s="9">
        <f ca="1"/>
        <v>1.0184971899865287</v>
      </c>
    </row>
    <row r="38" spans="2:50" x14ac:dyDescent="0.2">
      <c r="B38" s="6" t="s">
        <v>128</v>
      </c>
      <c r="C38" s="10" t="str">
        <f ca="1">Y26</f>
        <v>TenorBasis::TBL[27]@11:51:01-20140424</v>
      </c>
      <c r="E38" s="20" t="s">
        <v>58</v>
      </c>
      <c r="F38" s="21">
        <v>3.7400000000000003E-2</v>
      </c>
      <c r="G38" s="21">
        <v>0</v>
      </c>
      <c r="H38" s="22">
        <v>40003</v>
      </c>
      <c r="I38" s="22">
        <v>42194</v>
      </c>
      <c r="J38" s="21" t="s">
        <v>44</v>
      </c>
      <c r="K38" s="20" t="s">
        <v>44</v>
      </c>
      <c r="L38" s="22" t="s">
        <v>126</v>
      </c>
      <c r="M38" s="33"/>
      <c r="AF38" s="9"/>
      <c r="AG38" s="27" t="s">
        <v>117</v>
      </c>
      <c r="AH38" s="27" t="s">
        <v>118</v>
      </c>
      <c r="AI38" s="27" t="s">
        <v>119</v>
      </c>
      <c r="AJ38" s="27" t="str">
        <f ca="1">_xll.LTTbl_Create(,AK37:AL38)</f>
        <v>::TBL[4]@11:51:01-20140424</v>
      </c>
      <c r="AK38" s="27" t="s">
        <v>120</v>
      </c>
      <c r="AL38" s="27" t="s">
        <v>119</v>
      </c>
      <c r="AM38"/>
      <c r="AR38" s="9">
        <f ca="1"/>
        <v>6</v>
      </c>
      <c r="AS38" s="9" t="str">
        <f ca="1"/>
        <v>Ccy Basis</v>
      </c>
      <c r="AT38" s="9" t="str">
        <f ca="1"/>
        <v>6Y</v>
      </c>
      <c r="AU38" s="9">
        <f ca="1"/>
        <v>6.0027397260273974</v>
      </c>
      <c r="AV38" s="9">
        <f ca="1"/>
        <v>-2.1326566868462852E-2</v>
      </c>
      <c r="AW38" s="9">
        <f ca="1"/>
        <v>0</v>
      </c>
      <c r="AX38" s="9">
        <f ca="1"/>
        <v>1.0215556033854476</v>
      </c>
    </row>
    <row r="39" spans="2:50" x14ac:dyDescent="0.2">
      <c r="E39" s="20" t="s">
        <v>62</v>
      </c>
      <c r="F39" s="21">
        <v>3.8899999999999997E-2</v>
      </c>
      <c r="G39" s="21">
        <v>0</v>
      </c>
      <c r="H39" s="22">
        <v>40003</v>
      </c>
      <c r="I39" s="22">
        <v>42562</v>
      </c>
      <c r="J39" s="21" t="s">
        <v>44</v>
      </c>
      <c r="K39" s="20" t="s">
        <v>44</v>
      </c>
      <c r="L39" s="22" t="s">
        <v>126</v>
      </c>
      <c r="M39" s="33"/>
      <c r="AF39" s="9" t="str">
        <f ca="1">AL27</f>
        <v>1Y</v>
      </c>
      <c r="AG39" s="27" t="s">
        <v>111</v>
      </c>
      <c r="AH39" s="27" t="s">
        <v>112</v>
      </c>
      <c r="AI39" s="27" t="s">
        <v>113</v>
      </c>
      <c r="AJ39" s="27" t="s">
        <v>114</v>
      </c>
      <c r="AK39" s="27" t="s">
        <v>111</v>
      </c>
      <c r="AL39" s="27" t="s">
        <v>115</v>
      </c>
      <c r="AM39"/>
      <c r="AR39" s="9">
        <f ca="1"/>
        <v>7</v>
      </c>
      <c r="AS39" s="9" t="str">
        <f ca="1"/>
        <v>Ccy Basis</v>
      </c>
      <c r="AT39" s="9" t="str">
        <f ca="1"/>
        <v>7Y</v>
      </c>
      <c r="AU39" s="9">
        <f ca="1"/>
        <v>7.0109589041095894</v>
      </c>
      <c r="AV39" s="9">
        <f ca="1"/>
        <v>-2.4124151705689122E-2</v>
      </c>
      <c r="AW39" s="9">
        <f ca="1"/>
        <v>0</v>
      </c>
      <c r="AX39" s="9">
        <f ca="1"/>
        <v>1.0244174931750594</v>
      </c>
    </row>
    <row r="40" spans="2:50" x14ac:dyDescent="0.2">
      <c r="B40" s="1" t="s">
        <v>129</v>
      </c>
      <c r="C40" s="37" t="str">
        <f ca="1">_xll.LTTbl_Create(B40,B41:C42)</f>
        <v>Default Model Params::TBL[34]@11:51:01-20140424</v>
      </c>
      <c r="E40" s="20" t="s">
        <v>65</v>
      </c>
      <c r="F40" s="21">
        <v>4.0030000000000003E-2</v>
      </c>
      <c r="G40" s="21">
        <v>0</v>
      </c>
      <c r="H40" s="22">
        <v>40003</v>
      </c>
      <c r="I40" s="22">
        <v>42926</v>
      </c>
      <c r="J40" s="21" t="s">
        <v>44</v>
      </c>
      <c r="K40" s="20" t="s">
        <v>44</v>
      </c>
      <c r="L40" s="22" t="s">
        <v>126</v>
      </c>
      <c r="M40" s="33"/>
      <c r="AF40" s="9"/>
      <c r="AG40" s="27" t="s">
        <v>117</v>
      </c>
      <c r="AH40" s="27" t="s">
        <v>118</v>
      </c>
      <c r="AI40" s="27" t="s">
        <v>119</v>
      </c>
      <c r="AJ40" s="27" t="str">
        <f ca="1">_xll.LTTbl_Create(,AK39:AL40)</f>
        <v>::TBL[14]@11:51:01-20140424</v>
      </c>
      <c r="AK40" s="27" t="s">
        <v>120</v>
      </c>
      <c r="AL40" s="27" t="s">
        <v>119</v>
      </c>
      <c r="AM40"/>
      <c r="AR40" s="9">
        <f ca="1"/>
        <v>8</v>
      </c>
      <c r="AS40" s="9" t="str">
        <f ca="1"/>
        <v>Ccy Basis</v>
      </c>
      <c r="AT40" s="9" t="str">
        <f ca="1"/>
        <v>8Y</v>
      </c>
      <c r="AU40" s="9">
        <f ca="1"/>
        <v>8.0082191780821912</v>
      </c>
      <c r="AV40" s="9">
        <f ca="1"/>
        <v>-2.6646512566339486E-2</v>
      </c>
      <c r="AW40" s="9">
        <f ca="1"/>
        <v>0</v>
      </c>
      <c r="AX40" s="9">
        <f ca="1"/>
        <v>1.0270047053344351</v>
      </c>
    </row>
    <row r="41" spans="2:50" x14ac:dyDescent="0.2">
      <c r="B41" s="15" t="s">
        <v>47</v>
      </c>
      <c r="C41" s="39" t="s">
        <v>7</v>
      </c>
      <c r="E41" s="20" t="s">
        <v>67</v>
      </c>
      <c r="F41" s="21">
        <v>4.0899999999999999E-2</v>
      </c>
      <c r="G41" s="21">
        <v>0</v>
      </c>
      <c r="H41" s="22">
        <v>40003</v>
      </c>
      <c r="I41" s="22">
        <v>43290</v>
      </c>
      <c r="J41" s="21" t="s">
        <v>44</v>
      </c>
      <c r="K41" s="20" t="s">
        <v>44</v>
      </c>
      <c r="L41" s="22" t="s">
        <v>126</v>
      </c>
      <c r="M41" s="33"/>
      <c r="AM41"/>
      <c r="AR41" s="9">
        <f ca="1"/>
        <v>9</v>
      </c>
      <c r="AS41" s="9" t="str">
        <f ca="1"/>
        <v>Ccy Basis</v>
      </c>
      <c r="AT41" s="9" t="str">
        <f ca="1"/>
        <v>9Y</v>
      </c>
      <c r="AU41" s="9">
        <f ca="1"/>
        <v>9.0054794520547947</v>
      </c>
      <c r="AV41" s="9">
        <f ca="1"/>
        <v>4.445242324498376E-2</v>
      </c>
      <c r="AW41" s="9">
        <f ca="1"/>
        <v>0</v>
      </c>
      <c r="AX41" s="9">
        <f ca="1"/>
        <v>0.95652110718145666</v>
      </c>
    </row>
    <row r="42" spans="2:50" x14ac:dyDescent="0.2">
      <c r="B42" s="20" t="s">
        <v>130</v>
      </c>
      <c r="C42" s="7" t="str">
        <f ca="1">$C$2</f>
        <v>IR-EUR EURIB-COBL@09072009::TBL[30]@11:51:01-20140424</v>
      </c>
      <c r="E42" s="20" t="s">
        <v>70</v>
      </c>
      <c r="F42" s="21">
        <v>4.1599999999999998E-2</v>
      </c>
      <c r="G42" s="21">
        <v>0</v>
      </c>
      <c r="H42" s="22">
        <v>40003</v>
      </c>
      <c r="I42" s="22">
        <v>43655</v>
      </c>
      <c r="J42" s="21" t="s">
        <v>44</v>
      </c>
      <c r="K42" s="20" t="s">
        <v>44</v>
      </c>
      <c r="L42" s="22" t="s">
        <v>126</v>
      </c>
      <c r="M42" s="33"/>
      <c r="AM42"/>
      <c r="AR42" s="9">
        <f ca="1"/>
        <v>10</v>
      </c>
      <c r="AS42" s="9" t="str">
        <f ca="1"/>
        <v>Ccy Basis</v>
      </c>
      <c r="AT42" s="9" t="str">
        <f ca="1"/>
        <v>10Y</v>
      </c>
      <c r="AU42" s="9">
        <f ca="1"/>
        <v>10.005479452054795</v>
      </c>
      <c r="AV42" s="9">
        <f ca="1"/>
        <v>-3.5559584738938978E-2</v>
      </c>
      <c r="AW42" s="9">
        <f ca="1"/>
        <v>0</v>
      </c>
      <c r="AX42" s="9">
        <f ca="1"/>
        <v>1.0361993879586908</v>
      </c>
    </row>
    <row r="43" spans="2:50" x14ac:dyDescent="0.2">
      <c r="B43" s="40"/>
      <c r="C43" s="26"/>
      <c r="E43" s="20" t="s">
        <v>74</v>
      </c>
      <c r="F43" s="21">
        <v>4.2549999999999998E-2</v>
      </c>
      <c r="G43" s="21">
        <v>0</v>
      </c>
      <c r="H43" s="22">
        <v>40003</v>
      </c>
      <c r="I43" s="22">
        <v>44386</v>
      </c>
      <c r="J43" s="21" t="s">
        <v>44</v>
      </c>
      <c r="K43" s="20" t="s">
        <v>44</v>
      </c>
      <c r="L43" s="22" t="s">
        <v>126</v>
      </c>
      <c r="M43" s="33"/>
      <c r="AM43"/>
      <c r="AR43" s="9">
        <f ca="1"/>
        <v>11</v>
      </c>
      <c r="AS43" s="9" t="str">
        <f ca="1"/>
        <v>Ccy Basis</v>
      </c>
      <c r="AT43" s="9" t="str">
        <f ca="1"/>
        <v>12Y</v>
      </c>
      <c r="AU43" s="9">
        <f ca="1"/>
        <v>12.008219178082191</v>
      </c>
      <c r="AV43" s="9">
        <f ca="1"/>
        <v>-3.9104617358506073E-2</v>
      </c>
      <c r="AW43" s="9">
        <f ca="1"/>
        <v>0</v>
      </c>
      <c r="AX43" s="9">
        <f ca="1"/>
        <v>1.039879267381844</v>
      </c>
    </row>
    <row r="44" spans="2:50" x14ac:dyDescent="0.2">
      <c r="B44" s="6" t="s">
        <v>16</v>
      </c>
      <c r="C44" s="14" t="str">
        <f ca="1">_xll.QLIL_create(C10,"IRCurve_YieldCurve",C2)</f>
        <v>IR-EUR EURIB-COBL@09072009::Price_IL[1]@11:51:01-20140424</v>
      </c>
      <c r="E44" s="20" t="s">
        <v>78</v>
      </c>
      <c r="F44" s="21">
        <v>4.4150000000000002E-2</v>
      </c>
      <c r="G44" s="21">
        <v>0</v>
      </c>
      <c r="H44" s="22">
        <v>40003</v>
      </c>
      <c r="I44" s="22">
        <v>45482</v>
      </c>
      <c r="J44" s="21" t="s">
        <v>44</v>
      </c>
      <c r="K44" s="20" t="s">
        <v>44</v>
      </c>
      <c r="L44" s="22" t="s">
        <v>126</v>
      </c>
      <c r="M44" s="33"/>
      <c r="AM44"/>
      <c r="AR44" s="9">
        <f ca="1"/>
        <v>12</v>
      </c>
      <c r="AS44" s="9" t="str">
        <f ca="1"/>
        <v>Ccy Basis</v>
      </c>
      <c r="AT44" s="9" t="str">
        <f ca="1"/>
        <v>15Y</v>
      </c>
      <c r="AU44" s="9">
        <f ca="1"/>
        <v>15.010958904109589</v>
      </c>
      <c r="AV44" s="9">
        <f ca="1"/>
        <v>-3.1354687500204481E-2</v>
      </c>
      <c r="AW44" s="9">
        <f ca="1"/>
        <v>0</v>
      </c>
      <c r="AX44" s="9">
        <f ca="1"/>
        <v>1.0318514237911653</v>
      </c>
    </row>
    <row r="45" spans="2:50" x14ac:dyDescent="0.2">
      <c r="B45" s="41" t="s">
        <v>37</v>
      </c>
      <c r="C45" s="14" t="str">
        <f ca="1">_xll.QLIL_apply($C$44,B45,C40)</f>
        <v>Results::TBL[35]@11:51:01-20140424</v>
      </c>
      <c r="E45" s="20" t="s">
        <v>81</v>
      </c>
      <c r="F45" s="21">
        <v>4.3830000000000001E-2</v>
      </c>
      <c r="G45" s="21">
        <v>0</v>
      </c>
      <c r="H45" s="22">
        <v>40003</v>
      </c>
      <c r="I45" s="22">
        <v>47308</v>
      </c>
      <c r="J45" s="21" t="s">
        <v>44</v>
      </c>
      <c r="K45" s="20" t="s">
        <v>44</v>
      </c>
      <c r="L45" s="22" t="s">
        <v>126</v>
      </c>
      <c r="M45" s="33"/>
      <c r="AM45"/>
      <c r="AR45" s="9">
        <f ca="1"/>
        <v>13</v>
      </c>
      <c r="AS45" s="9" t="str">
        <f ca="1"/>
        <v>Ccy Basis</v>
      </c>
      <c r="AT45" s="9" t="str">
        <f ca="1"/>
        <v>20Y</v>
      </c>
      <c r="AU45" s="9">
        <f ca="1"/>
        <v>20.013698630136986</v>
      </c>
      <c r="AV45" s="9">
        <f ca="1"/>
        <v>-2.0594599332364415E-2</v>
      </c>
      <c r="AW45" s="9">
        <f ca="1"/>
        <v>0</v>
      </c>
      <c r="AX45" s="9">
        <f ca="1"/>
        <v>1.0208081314434212</v>
      </c>
    </row>
    <row r="46" spans="2:50" x14ac:dyDescent="0.2">
      <c r="B46" s="6" t="s">
        <v>15</v>
      </c>
      <c r="C46" s="7" t="str">
        <f ca="1">_xll.LTTbl_GetByXPath(C45,"DefaultModelParameters")</f>
        <v>Model Parameters::TBL[36(0,0)]@11:51:01-20140424</v>
      </c>
      <c r="E46" s="20" t="s">
        <v>86</v>
      </c>
      <c r="F46" s="21">
        <v>4.308E-2</v>
      </c>
      <c r="G46" s="21">
        <v>0</v>
      </c>
      <c r="H46" s="22">
        <v>40003</v>
      </c>
      <c r="I46" s="22">
        <v>49135</v>
      </c>
      <c r="J46" s="21" t="s">
        <v>44</v>
      </c>
      <c r="K46" s="20" t="s">
        <v>44</v>
      </c>
      <c r="L46" s="22" t="s">
        <v>126</v>
      </c>
      <c r="M46" s="33"/>
      <c r="AF46" s="42" t="s">
        <v>131</v>
      </c>
      <c r="AG46" s="42"/>
      <c r="AH46" s="42"/>
      <c r="AI46" s="42"/>
      <c r="AJ46" s="42"/>
      <c r="AK46" s="42"/>
      <c r="AL46" s="42"/>
      <c r="AM46"/>
      <c r="AR46" s="9">
        <f ca="1"/>
        <v>14</v>
      </c>
      <c r="AS46" s="9" t="str">
        <f ca="1"/>
        <v>Ccy Basis</v>
      </c>
      <c r="AT46" s="9" t="str">
        <f ca="1"/>
        <v>25Y</v>
      </c>
      <c r="AU46" s="9">
        <f ca="1"/>
        <v>25.019178082191782</v>
      </c>
      <c r="AV46" s="9">
        <f ca="1"/>
        <v>-1.9900407697425508E-2</v>
      </c>
      <c r="AW46" s="9">
        <f ca="1"/>
        <v>0</v>
      </c>
      <c r="AX46" s="9">
        <f ca="1"/>
        <v>1.0200997408855432</v>
      </c>
    </row>
    <row r="47" spans="2:50" x14ac:dyDescent="0.2">
      <c r="B47" s="6" t="s">
        <v>132</v>
      </c>
      <c r="C47" s="14" t="str">
        <f ca="1">_xll.LTTbl_Merge(B47,C2,C46)</f>
        <v>CurveParams::TBL[37]@11:51:01-20140424</v>
      </c>
      <c r="E47" s="20" t="s">
        <v>87</v>
      </c>
      <c r="F47" s="21">
        <v>4.2599999999999999E-2</v>
      </c>
      <c r="G47" s="21">
        <v>0</v>
      </c>
      <c r="H47" s="22">
        <v>40003</v>
      </c>
      <c r="I47" s="22">
        <v>50962</v>
      </c>
      <c r="J47" s="21" t="s">
        <v>44</v>
      </c>
      <c r="K47" s="20" t="s">
        <v>44</v>
      </c>
      <c r="L47" s="22" t="s">
        <v>126</v>
      </c>
      <c r="M47" s="33"/>
      <c r="AM47"/>
      <c r="AR47" s="9">
        <f ca="1"/>
        <v>15</v>
      </c>
      <c r="AS47" s="9" t="str">
        <f ca="1"/>
        <v>Ccy Basis</v>
      </c>
      <c r="AT47" s="9" t="str">
        <f ca="1"/>
        <v>30Y</v>
      </c>
      <c r="AU47" s="9">
        <f ca="1"/>
        <v>30.024657534246575</v>
      </c>
      <c r="AV47" s="9">
        <f ca="1"/>
        <v>-1.5544557618917279E-2</v>
      </c>
      <c r="AW47" s="9">
        <f ca="1"/>
        <v>0</v>
      </c>
      <c r="AX47" s="9">
        <f ca="1"/>
        <v>1.0156660027087794</v>
      </c>
    </row>
    <row r="48" spans="2:50" x14ac:dyDescent="0.2">
      <c r="B48" s="43" t="s">
        <v>0</v>
      </c>
      <c r="C48" s="14" t="str">
        <f ca="1">_xll.QLIRCurve_create(B48,C47)</f>
        <v>IRCurve::Price_IRCurve[2]@11:51:01-20140424</v>
      </c>
      <c r="E48" s="20" t="s">
        <v>89</v>
      </c>
      <c r="F48" s="21">
        <v>4.233E-2</v>
      </c>
      <c r="G48" s="21">
        <v>0</v>
      </c>
      <c r="H48" s="22">
        <v>40003</v>
      </c>
      <c r="I48" s="22">
        <v>54613</v>
      </c>
      <c r="J48" s="21" t="s">
        <v>44</v>
      </c>
      <c r="K48" s="20" t="s">
        <v>44</v>
      </c>
      <c r="L48" s="22" t="s">
        <v>126</v>
      </c>
      <c r="M48" s="33"/>
      <c r="AF48" s="1" t="s">
        <v>41</v>
      </c>
      <c r="AG48" s="1" t="str">
        <f ca="1">_xll.LTTbl_GetByKey(C46,AF48)</f>
        <v>Curves Interpolation::TBL[38(1,0)]@11:51:01-20140424</v>
      </c>
      <c r="AM48"/>
      <c r="AR48" s="9">
        <f ca="1"/>
        <v>16</v>
      </c>
      <c r="AS48" s="9" t="str">
        <f ca="1"/>
        <v>Ccy Basis</v>
      </c>
      <c r="AT48" s="9" t="str">
        <f ca="1"/>
        <v>40Y</v>
      </c>
      <c r="AU48" s="9">
        <f ca="1"/>
        <v>40.027397260273972</v>
      </c>
      <c r="AV48" s="9">
        <f ca="1"/>
        <v>-1.8269114381583025E-2</v>
      </c>
      <c r="AW48" s="9">
        <f ca="1"/>
        <v>0</v>
      </c>
      <c r="AX48" s="9">
        <f ca="1"/>
        <v>1.018437015561823</v>
      </c>
    </row>
    <row r="49" spans="2:50" x14ac:dyDescent="0.2">
      <c r="E49" s="20" t="s">
        <v>92</v>
      </c>
      <c r="F49" s="21">
        <v>4.2930000000000003E-2</v>
      </c>
      <c r="G49" s="21">
        <v>0</v>
      </c>
      <c r="H49" s="22">
        <v>40003</v>
      </c>
      <c r="I49" s="22">
        <v>58265</v>
      </c>
      <c r="J49" s="21" t="s">
        <v>44</v>
      </c>
      <c r="K49" s="20" t="s">
        <v>44</v>
      </c>
      <c r="L49" s="22" t="s">
        <v>126</v>
      </c>
      <c r="M49" s="33"/>
      <c r="AF49" s="8" t="str">
        <f t="array" aca="1" ref="AF49:AK50" ca="1">_xll.LTTbl_Get(AG48)</f>
        <v>Discount</v>
      </c>
      <c r="AG49" s="8" t="str">
        <f ca="1"/>
        <v>ON</v>
      </c>
      <c r="AH49" s="8" t="str">
        <f ca="1"/>
        <v>1M</v>
      </c>
      <c r="AI49" s="8" t="str">
        <f ca="1"/>
        <v>3M</v>
      </c>
      <c r="AJ49" s="8" t="str">
        <f ca="1"/>
        <v>6M</v>
      </c>
      <c r="AK49" s="8" t="str">
        <f ca="1"/>
        <v>1Y</v>
      </c>
      <c r="AM49"/>
    </row>
    <row r="50" spans="2:50" x14ac:dyDescent="0.2">
      <c r="E50" s="20"/>
      <c r="F50" s="21"/>
      <c r="G50" s="21"/>
      <c r="H50" s="22"/>
      <c r="I50" s="22"/>
      <c r="J50" s="21"/>
      <c r="K50" s="20"/>
      <c r="L50" s="22"/>
      <c r="M50" s="33"/>
      <c r="AF50" s="9" t="str">
        <f ca="1"/>
        <v>EURDiscount::TBL[39(1,0)]@11:51:01-20140424</v>
      </c>
      <c r="AG50" s="9" t="str">
        <f ca="1"/>
        <v>EURON::TBL[40(1,1)]@11:51:01-20140424</v>
      </c>
      <c r="AH50" s="9" t="str">
        <f ca="1"/>
        <v>EUR1M::TBL[41(1,2)]@11:51:01-20140424</v>
      </c>
      <c r="AI50" s="9" t="str">
        <f ca="1"/>
        <v>EUR3M::TBL[42(1,3)]@11:51:01-20140424</v>
      </c>
      <c r="AJ50" s="9" t="str">
        <f ca="1"/>
        <v>EUR6M::TBL[43(1,4)]@11:51:01-20140424</v>
      </c>
      <c r="AK50" s="9" t="str">
        <f ca="1"/>
        <v>EUR1Y::TBL[44(1,5)]@11:51:01-20140424</v>
      </c>
      <c r="AM50"/>
      <c r="AR50" s="1" t="str">
        <f ca="1">AO18</f>
        <v>ON</v>
      </c>
    </row>
    <row r="51" spans="2:50" x14ac:dyDescent="0.2">
      <c r="B51" s="1" t="s">
        <v>24</v>
      </c>
      <c r="C51" s="1" t="s">
        <v>133</v>
      </c>
      <c r="E51" s="20"/>
      <c r="F51" s="21"/>
      <c r="G51" s="21"/>
      <c r="H51" s="22"/>
      <c r="I51" s="22"/>
      <c r="J51" s="21"/>
      <c r="K51" s="20"/>
      <c r="L51" s="22"/>
      <c r="M51" s="33"/>
      <c r="AM51"/>
      <c r="AR51" s="8" t="str">
        <f t="array" aca="1" ref="AR51:AX69" ca="1">_xll.LTTbl_Get(AP18)</f>
        <v>#</v>
      </c>
      <c r="AS51" s="8" t="str">
        <f ca="1"/>
        <v>Instrument</v>
      </c>
      <c r="AT51" s="8" t="str">
        <f ca="1"/>
        <v>Maturity</v>
      </c>
      <c r="AU51" s="8" t="str">
        <f ca="1"/>
        <v>x</v>
      </c>
      <c r="AV51" s="8" t="str">
        <f ca="1"/>
        <v>y</v>
      </c>
      <c r="AW51" s="8" t="str">
        <f ca="1"/>
        <v>Fixed?</v>
      </c>
      <c r="AX51" s="8" t="str">
        <f ca="1"/>
        <v>df</v>
      </c>
    </row>
    <row r="52" spans="2:50" x14ac:dyDescent="0.2">
      <c r="B52" s="44">
        <f ca="1">C13+30</f>
        <v>40033</v>
      </c>
      <c r="C52" s="9">
        <f ca="1">_xll.QLIRCurve_getDF(C48,B52)</f>
        <v>0.99923358891059333</v>
      </c>
      <c r="M52" s="33"/>
      <c r="N52" s="2"/>
      <c r="O52" s="2"/>
      <c r="P52" s="2"/>
      <c r="Q52" s="2"/>
      <c r="X52" s="2"/>
      <c r="Y52" s="2"/>
      <c r="Z52" s="2"/>
      <c r="AA52" s="2"/>
      <c r="AB52" s="2"/>
      <c r="AC52" s="2"/>
      <c r="AF52" s="65"/>
      <c r="AG52" s="64" t="str">
        <f t="array" aca="1" ref="AG52:AJ53" ca="1">_xll.LTTbl_Get(AF50)</f>
        <v>Curve Type</v>
      </c>
      <c r="AH52" s="8" t="str">
        <f ca="1"/>
        <v>Interp Curve</v>
      </c>
      <c r="AI52" s="8" t="str">
        <f ca="1"/>
        <v>Left Extrap</v>
      </c>
      <c r="AJ52" s="8" t="str">
        <f ca="1"/>
        <v>Right Extrap</v>
      </c>
      <c r="AK52" s="8" t="str">
        <f t="array" aca="1" ref="AK52:AL53" ca="1">_xll.LTTbl_Get(AH53)</f>
        <v>Curve Type</v>
      </c>
      <c r="AL52" s="8" t="str">
        <f ca="1"/>
        <v>Interp</v>
      </c>
      <c r="AM52" s="8" t="s">
        <v>169</v>
      </c>
      <c r="AR52" s="9">
        <f ca="1"/>
        <v>0</v>
      </c>
      <c r="AS52" s="9" t="str">
        <f ca="1"/>
        <v>N.A.</v>
      </c>
      <c r="AT52" s="9" t="str">
        <f ca="1"/>
        <v>N.A.</v>
      </c>
      <c r="AU52" s="9">
        <f ca="1"/>
        <v>0</v>
      </c>
      <c r="AV52" s="9">
        <f ca="1"/>
        <v>0</v>
      </c>
      <c r="AW52" s="9">
        <f ca="1"/>
        <v>1</v>
      </c>
      <c r="AX52" s="9">
        <f ca="1"/>
        <v>1</v>
      </c>
    </row>
    <row r="53" spans="2:50" x14ac:dyDescent="0.2">
      <c r="B53" s="44">
        <v>52451</v>
      </c>
      <c r="C53" s="9">
        <f ca="1">_xll.QLIRCurve_getDF(C48,B53)</f>
        <v>0.24745799046567554</v>
      </c>
      <c r="AF53" s="66" t="str">
        <f t="array" aca="1" ref="AF53:AF58" ca="1">TRANSPOSE(AF49:AK49)</f>
        <v>Discount</v>
      </c>
      <c r="AG53" s="67" t="str">
        <f ca="1"/>
        <v>BaseCurve</v>
      </c>
      <c r="AH53" s="68" t="str">
        <f ca="1"/>
        <v>Interp Curve::TBL[55(1,1)]@11:51:01-20140424</v>
      </c>
      <c r="AI53" s="68" t="str">
        <f ca="1"/>
        <v>Flat</v>
      </c>
      <c r="AJ53" s="68" t="str">
        <f ca="1"/>
        <v>StraightLine</v>
      </c>
      <c r="AK53" s="68" t="str">
        <f ca="1"/>
        <v>UkpCurve</v>
      </c>
      <c r="AL53" s="68" t="str">
        <f ca="1"/>
        <v>StraightLine</v>
      </c>
      <c r="AM53" s="68"/>
      <c r="AR53" s="9">
        <f ca="1"/>
        <v>1</v>
      </c>
      <c r="AS53" s="9" t="str">
        <f ca="1"/>
        <v>Cash</v>
      </c>
      <c r="AT53" s="9" t="str">
        <f ca="1"/>
        <v>1D</v>
      </c>
      <c r="AU53" s="9">
        <f ca="1"/>
        <v>8.7671232876712329E-2</v>
      </c>
      <c r="AV53" s="9">
        <f ca="1"/>
        <v>-7.7497615753816874E-4</v>
      </c>
      <c r="AW53" s="9">
        <f ca="1"/>
        <v>0</v>
      </c>
      <c r="AX53" s="9">
        <f ca="1"/>
        <v>1.0007752765291491</v>
      </c>
    </row>
    <row r="54" spans="2:50" x14ac:dyDescent="0.2">
      <c r="AF54" s="66" t="str">
        <f ca="1"/>
        <v>ON</v>
      </c>
      <c r="AG54" s="65" t="str">
        <f t="array" aca="1" ref="AG54:AJ54" ca="1">_xll.LTTbl_Get(AG50,,0,1,,1)</f>
        <v>BaseCurve</v>
      </c>
      <c r="AH54" s="65" t="str">
        <f ca="1"/>
        <v>Interp Curve::TBL[52(1,1)]@11:51:01-20140424</v>
      </c>
      <c r="AI54" s="65" t="str">
        <f ca="1"/>
        <v>Flat</v>
      </c>
      <c r="AJ54" s="65" t="str">
        <f ca="1"/>
        <v>StraightLine</v>
      </c>
      <c r="AK54" s="65" t="str">
        <f t="array" aca="1" ref="AK54:AL54" ca="1">_xll.LTTbl_Get(AH54,,,1,,1)</f>
        <v>UkpCurve</v>
      </c>
      <c r="AL54" s="65" t="str">
        <f ca="1"/>
        <v>StraightLine</v>
      </c>
      <c r="AM54" s="65"/>
      <c r="AR54" s="9">
        <f ca="1"/>
        <v>2</v>
      </c>
      <c r="AS54" s="9" t="str">
        <f ca="1"/>
        <v>Tenor Basis</v>
      </c>
      <c r="AT54" s="9" t="str">
        <f ca="1"/>
        <v>3M</v>
      </c>
      <c r="AU54" s="9">
        <f ca="1"/>
        <v>0.25205479452054796</v>
      </c>
      <c r="AV54" s="9">
        <f ca="1"/>
        <v>-1.0742336309647012E-3</v>
      </c>
      <c r="AW54" s="9">
        <f ca="1"/>
        <v>0</v>
      </c>
      <c r="AX54" s="9">
        <f ca="1"/>
        <v>1.0010748108265741</v>
      </c>
    </row>
    <row r="55" spans="2:50" x14ac:dyDescent="0.2">
      <c r="B55" s="45" t="s">
        <v>134</v>
      </c>
      <c r="AF55" s="66" t="str">
        <f ca="1"/>
        <v>1M</v>
      </c>
      <c r="AG55" s="65" t="str">
        <f t="array" aca="1" ref="AG55:AJ55" ca="1">_xll.LTTbl_Get(AH50,,0,1,,1)</f>
        <v>BaseCurve</v>
      </c>
      <c r="AH55" s="65" t="str">
        <f ca="1"/>
        <v>Interp Curve::TBL[53(1,1)]@11:51:01-20140424</v>
      </c>
      <c r="AI55" s="65" t="str">
        <f ca="1"/>
        <v>Flat</v>
      </c>
      <c r="AJ55" s="65" t="str">
        <f ca="1"/>
        <v>StraightLine</v>
      </c>
      <c r="AK55" s="65" t="str">
        <f t="array" aca="1" ref="AK55:AL55" ca="1">_xll.LTTbl_Get(AH55,,,1,,1)</f>
        <v>UkpCurve</v>
      </c>
      <c r="AL55" s="65" t="str">
        <f ca="1"/>
        <v>StraightLine</v>
      </c>
      <c r="AM55" s="65"/>
      <c r="AR55" s="9">
        <f ca="1"/>
        <v>3</v>
      </c>
      <c r="AS55" s="9" t="str">
        <f ca="1"/>
        <v>Tenor Basis</v>
      </c>
      <c r="AT55" s="9" t="str">
        <f ca="1"/>
        <v>6M</v>
      </c>
      <c r="AU55" s="9">
        <f ca="1"/>
        <v>0.50958904109589043</v>
      </c>
      <c r="AV55" s="9">
        <f ca="1"/>
        <v>-1.9700414773018847E-3</v>
      </c>
      <c r="AW55" s="9">
        <f ca="1"/>
        <v>0</v>
      </c>
      <c r="AX55" s="9">
        <f ca="1"/>
        <v>1.0019719832839502</v>
      </c>
    </row>
    <row r="56" spans="2:50" x14ac:dyDescent="0.2">
      <c r="AF56" s="66" t="str">
        <f ca="1"/>
        <v>3M</v>
      </c>
      <c r="AG56" s="65" t="str">
        <f t="array" aca="1" ref="AG56:AJ56" ca="1">_xll.LTTbl_Get(AI50,,0,1,,1)</f>
        <v>BaseCurve</v>
      </c>
      <c r="AH56" s="65" t="str">
        <f ca="1"/>
        <v>Interp Curve::TBL[54(1,1)]@11:53:04-20140424</v>
      </c>
      <c r="AI56" s="65" t="str">
        <f ca="1"/>
        <v>Flat</v>
      </c>
      <c r="AJ56" s="65" t="str">
        <f ca="1"/>
        <v>StraightLine</v>
      </c>
      <c r="AK56" s="65" t="str">
        <f t="array" aca="1" ref="AK56:AM56" ca="1">_xll.LTTbl_Get(AH56,,,1,,1)</f>
        <v>Composite</v>
      </c>
      <c r="AL56" s="65" t="str">
        <f ca="1"/>
        <v>Interp Curve::TBL[60(1,1)]@12:09:44-20140424</v>
      </c>
      <c r="AM56" s="65" t="str">
        <f ca="1"/>
        <v>Interp Curve::TBL[60(1,2)]@12:09:44-20140424</v>
      </c>
      <c r="AN56" s="69" t="s">
        <v>136</v>
      </c>
      <c r="AR56" s="9">
        <f ca="1"/>
        <v>4</v>
      </c>
      <c r="AS56" s="9" t="str">
        <f ca="1"/>
        <v>Tenor Basis</v>
      </c>
      <c r="AT56" s="9" t="str">
        <f ca="1"/>
        <v>9M</v>
      </c>
      <c r="AU56" s="9">
        <f ca="1"/>
        <v>0.75068493150684934</v>
      </c>
      <c r="AV56" s="9">
        <f ca="1"/>
        <v>-2.6128696394259144E-3</v>
      </c>
      <c r="AW56" s="9">
        <f ca="1"/>
        <v>0</v>
      </c>
      <c r="AX56" s="9">
        <f ca="1"/>
        <v>1.0026162861582937</v>
      </c>
    </row>
    <row r="57" spans="2:50" x14ac:dyDescent="0.2">
      <c r="AF57" s="66" t="str">
        <f ca="1"/>
        <v>6M</v>
      </c>
      <c r="AG57" s="65" t="str">
        <f t="array" aca="1" ref="AG57:AJ57" ca="1">_xll.LTTbl_Get(AJ50,,0,1,,1)</f>
        <v>BaseCurve</v>
      </c>
      <c r="AH57" s="65" t="str">
        <f ca="1"/>
        <v>Interp Curve::TBL[57(1,1)]@11:56:35-20140424</v>
      </c>
      <c r="AI57" s="65" t="str">
        <f ca="1"/>
        <v>Flat</v>
      </c>
      <c r="AJ57" s="65" t="str">
        <f ca="1"/>
        <v>StraightLine</v>
      </c>
      <c r="AK57" s="65" t="str">
        <f t="array" aca="1" ref="AK57:AL57" ca="1">_xll.LTTbl_Get(AH57,,,1,,1)</f>
        <v>UkpCurve</v>
      </c>
      <c r="AL57" s="65" t="str">
        <f ca="1"/>
        <v>StraightLine</v>
      </c>
      <c r="AM57" s="65"/>
      <c r="AR57" s="9">
        <f ca="1"/>
        <v>5</v>
      </c>
      <c r="AS57" s="9" t="str">
        <f ca="1"/>
        <v>Tenor Basis</v>
      </c>
      <c r="AT57" s="9" t="str">
        <f ca="1"/>
        <v>12M</v>
      </c>
      <c r="AU57" s="9">
        <f ca="1"/>
        <v>1</v>
      </c>
      <c r="AV57" s="9">
        <f ca="1"/>
        <v>-3.0952049073025216E-3</v>
      </c>
      <c r="AW57" s="9">
        <f ca="1"/>
        <v>0</v>
      </c>
      <c r="AX57" s="9">
        <f ca="1"/>
        <v>1.0031000000000001</v>
      </c>
    </row>
    <row r="58" spans="2:50" x14ac:dyDescent="0.2">
      <c r="AF58" s="66" t="str">
        <f ca="1"/>
        <v>1Y</v>
      </c>
      <c r="AG58" s="65" t="str">
        <f t="array" aca="1" ref="AG58:AJ58" ca="1">_xll.LTTbl_Get(AK50,,0,1,,1)</f>
        <v>BaseCurve</v>
      </c>
      <c r="AH58" s="65" t="str">
        <f ca="1"/>
        <v>Interp Curve::TBL[58(1,1)]@11:56:51-20140424</v>
      </c>
      <c r="AI58" s="65" t="str">
        <f ca="1"/>
        <v>Flat</v>
      </c>
      <c r="AJ58" s="65" t="str">
        <f ca="1"/>
        <v>StraightLine</v>
      </c>
      <c r="AK58" s="65" t="str">
        <f t="array" aca="1" ref="AK58:AL58" ca="1">_xll.LTTbl_Get(AH58,,,1,,1)</f>
        <v>UkpCurve</v>
      </c>
      <c r="AL58" s="65" t="str">
        <f ca="1"/>
        <v>StraightLine</v>
      </c>
      <c r="AM58" s="65"/>
      <c r="AR58" s="9">
        <f ca="1"/>
        <v>6</v>
      </c>
      <c r="AS58" s="9" t="str">
        <f ca="1"/>
        <v>Tenor Basis</v>
      </c>
      <c r="AT58" s="9" t="str">
        <f ca="1"/>
        <v>2Y</v>
      </c>
      <c r="AU58" s="9">
        <f ca="1"/>
        <v>2.0054794520547947</v>
      </c>
      <c r="AV58" s="9">
        <f ca="1"/>
        <v>-5.3074912239530784E-3</v>
      </c>
      <c r="AW58" s="9">
        <f ca="1"/>
        <v>0</v>
      </c>
      <c r="AX58" s="9">
        <f ca="1"/>
        <v>1.005321600906794</v>
      </c>
    </row>
    <row r="59" spans="2:50" x14ac:dyDescent="0.2">
      <c r="AM59"/>
      <c r="AR59" s="9">
        <f ca="1"/>
        <v>7</v>
      </c>
      <c r="AS59" s="9" t="str">
        <f ca="1"/>
        <v>Tenor Basis</v>
      </c>
      <c r="AT59" s="9" t="str">
        <f ca="1"/>
        <v>3Y</v>
      </c>
      <c r="AU59" s="9">
        <f ca="1"/>
        <v>3.0027397260273974</v>
      </c>
      <c r="AV59" s="9">
        <f ca="1"/>
        <v>-7.1979412638210182E-3</v>
      </c>
      <c r="AW59" s="9">
        <f ca="1"/>
        <v>0</v>
      </c>
      <c r="AX59" s="9">
        <f ca="1"/>
        <v>1.0072239087097001</v>
      </c>
    </row>
    <row r="60" spans="2:50" x14ac:dyDescent="0.2">
      <c r="AM60"/>
      <c r="AR60" s="9">
        <f ca="1"/>
        <v>8</v>
      </c>
      <c r="AS60" s="9" t="str">
        <f ca="1"/>
        <v>Tenor Basis</v>
      </c>
      <c r="AT60" s="9" t="str">
        <f ca="1"/>
        <v>4Y</v>
      </c>
      <c r="AU60" s="9">
        <f ca="1"/>
        <v>4.0027397260273974</v>
      </c>
      <c r="AV60" s="9">
        <f ca="1"/>
        <v>-8.696504879655273E-3</v>
      </c>
      <c r="AW60" s="9">
        <f ca="1"/>
        <v>0</v>
      </c>
      <c r="AX60" s="9">
        <f ca="1"/>
        <v>1.0087344293352356</v>
      </c>
    </row>
    <row r="61" spans="2:50" x14ac:dyDescent="0.2">
      <c r="AM61"/>
      <c r="AR61" s="9">
        <f ca="1"/>
        <v>9</v>
      </c>
      <c r="AS61" s="9" t="str">
        <f ca="1"/>
        <v>Tenor Basis</v>
      </c>
      <c r="AT61" s="9" t="str">
        <f ca="1"/>
        <v>5Y</v>
      </c>
      <c r="AU61" s="9">
        <f ca="1"/>
        <v>5.0027397260273974</v>
      </c>
      <c r="AV61" s="9">
        <f ca="1"/>
        <v>-9.9954872932629564E-3</v>
      </c>
      <c r="AW61" s="9">
        <f ca="1"/>
        <v>0</v>
      </c>
      <c r="AX61" s="9">
        <f ca="1"/>
        <v>1.0100456090342589</v>
      </c>
    </row>
    <row r="62" spans="2:50" x14ac:dyDescent="0.2">
      <c r="AM62"/>
      <c r="AR62" s="9">
        <f ca="1"/>
        <v>10</v>
      </c>
      <c r="AS62" s="9" t="str">
        <f ca="1"/>
        <v>Tenor Basis</v>
      </c>
      <c r="AT62" s="9" t="str">
        <f ca="1"/>
        <v>7Y</v>
      </c>
      <c r="AU62" s="9">
        <f ca="1"/>
        <v>7.0109589041095894</v>
      </c>
      <c r="AV62" s="9">
        <f ca="1"/>
        <v>-1.208348509743758E-2</v>
      </c>
      <c r="AW62" s="9">
        <f ca="1"/>
        <v>0</v>
      </c>
      <c r="AX62" s="9">
        <f ca="1"/>
        <v>1.012156785346777</v>
      </c>
    </row>
    <row r="63" spans="2:50" x14ac:dyDescent="0.2">
      <c r="AM63"/>
      <c r="AR63" s="9">
        <f ca="1"/>
        <v>11</v>
      </c>
      <c r="AS63" s="9" t="str">
        <f ca="1"/>
        <v>Tenor Basis</v>
      </c>
      <c r="AT63" s="9" t="str">
        <f ca="1"/>
        <v>10Y</v>
      </c>
      <c r="AU63" s="9">
        <f ca="1"/>
        <v>10.005479452054795</v>
      </c>
      <c r="AV63" s="9">
        <f ca="1"/>
        <v>-1.4247659171273424E-2</v>
      </c>
      <c r="AW63" s="9">
        <f ca="1"/>
        <v>0</v>
      </c>
      <c r="AX63" s="9">
        <f ca="1"/>
        <v>1.0143496408248878</v>
      </c>
    </row>
    <row r="64" spans="2:50" x14ac:dyDescent="0.2">
      <c r="AM64"/>
      <c r="AR64" s="9">
        <f ca="1"/>
        <v>12</v>
      </c>
      <c r="AS64" s="9" t="str">
        <f ca="1"/>
        <v>Tenor Basis</v>
      </c>
      <c r="AT64" s="9" t="str">
        <f ca="1"/>
        <v>15Y</v>
      </c>
      <c r="AU64" s="9">
        <f ca="1"/>
        <v>15.010958904109589</v>
      </c>
      <c r="AV64" s="9">
        <f ca="1"/>
        <v>-1.7627522569710511E-2</v>
      </c>
      <c r="AW64" s="9">
        <f ca="1"/>
        <v>0</v>
      </c>
      <c r="AX64" s="9">
        <f ca="1"/>
        <v>1.0177838042816423</v>
      </c>
    </row>
    <row r="65" spans="39:50" x14ac:dyDescent="0.2">
      <c r="AM65"/>
      <c r="AR65" s="9">
        <f ca="1"/>
        <v>13</v>
      </c>
      <c r="AS65" s="9" t="str">
        <f ca="1"/>
        <v>Tenor Basis</v>
      </c>
      <c r="AT65" s="9" t="str">
        <f ca="1"/>
        <v>20Y</v>
      </c>
      <c r="AU65" s="9">
        <f ca="1"/>
        <v>20.013698630136986</v>
      </c>
      <c r="AV65" s="9">
        <f ca="1"/>
        <v>-2.1003358726983206E-2</v>
      </c>
      <c r="AW65" s="9">
        <f ca="1"/>
        <v>0</v>
      </c>
      <c r="AX65" s="9">
        <f ca="1"/>
        <v>1.0212254816493496</v>
      </c>
    </row>
    <row r="66" spans="39:50" x14ac:dyDescent="0.2">
      <c r="AM66"/>
      <c r="AR66" s="9">
        <f ca="1"/>
        <v>14</v>
      </c>
      <c r="AS66" s="9" t="str">
        <f ca="1"/>
        <v>Tenor Basis</v>
      </c>
      <c r="AT66" s="9" t="str">
        <f ca="1"/>
        <v>30Y</v>
      </c>
      <c r="AU66" s="9">
        <f ca="1"/>
        <v>30.024657534246575</v>
      </c>
      <c r="AV66" s="9">
        <f ca="1"/>
        <v>-2.7759971210923814E-2</v>
      </c>
      <c r="AW66" s="9">
        <f ca="1"/>
        <v>0</v>
      </c>
      <c r="AX66" s="9">
        <f ca="1"/>
        <v>1.0281488694731338</v>
      </c>
    </row>
    <row r="67" spans="39:50" x14ac:dyDescent="0.2">
      <c r="AM67"/>
      <c r="AR67" s="9">
        <f ca="1"/>
        <v>15</v>
      </c>
      <c r="AS67" s="9" t="str">
        <f ca="1"/>
        <v>Tenor Basis</v>
      </c>
      <c r="AT67" s="9" t="str">
        <f ca="1"/>
        <v>40Y</v>
      </c>
      <c r="AU67" s="9">
        <f ca="1"/>
        <v>40.027397260273972</v>
      </c>
      <c r="AV67" s="9">
        <f ca="1"/>
        <v>-3.7008228797481217E-2</v>
      </c>
      <c r="AW67" s="9">
        <f ca="1"/>
        <v>0</v>
      </c>
      <c r="AX67" s="9">
        <f ca="1"/>
        <v>1.037701559839006</v>
      </c>
    </row>
    <row r="68" spans="39:50" x14ac:dyDescent="0.2">
      <c r="AM68"/>
      <c r="AR68" s="9">
        <f ca="1"/>
        <v>16</v>
      </c>
      <c r="AS68" s="9" t="str">
        <f ca="1"/>
        <v>Tenor Basis</v>
      </c>
      <c r="AT68" s="9" t="str">
        <f ca="1"/>
        <v>50Y</v>
      </c>
      <c r="AU68" s="9">
        <f ca="1"/>
        <v>50.032876712328765</v>
      </c>
      <c r="AV68" s="9">
        <f ca="1"/>
        <v>-4.6259019459247243E-2</v>
      </c>
      <c r="AW68" s="9">
        <f ca="1"/>
        <v>0</v>
      </c>
      <c r="AX68" s="9">
        <f ca="1"/>
        <v>1.0473456587323644</v>
      </c>
    </row>
    <row r="69" spans="39:50" x14ac:dyDescent="0.2">
      <c r="AM69"/>
      <c r="AR69" s="9">
        <f ca="1"/>
        <v>17</v>
      </c>
      <c r="AS69" s="9" t="str">
        <f ca="1"/>
        <v>Tenor Basis</v>
      </c>
      <c r="AT69" s="9" t="str">
        <f ca="1"/>
        <v>60Y</v>
      </c>
      <c r="AU69" s="9">
        <f ca="1"/>
        <v>60.041095890410958</v>
      </c>
      <c r="AV69" s="9">
        <f ca="1"/>
        <v>-5.5512343196221989E-2</v>
      </c>
      <c r="AW69" s="9">
        <f ca="1"/>
        <v>0</v>
      </c>
      <c r="AX69" s="9">
        <f ca="1"/>
        <v>1.0570820647632457</v>
      </c>
    </row>
    <row r="71" spans="39:50" x14ac:dyDescent="0.2">
      <c r="AR71" s="1" t="str">
        <f ca="1">AO19</f>
        <v>1M</v>
      </c>
    </row>
    <row r="72" spans="39:50" x14ac:dyDescent="0.2">
      <c r="AR72" s="8" t="str">
        <f t="array" aca="1" ref="AR72:AX89" ca="1">_xll.LTTbl_Get(AP19)</f>
        <v>#</v>
      </c>
      <c r="AS72" s="8" t="str">
        <f ca="1"/>
        <v>Instrument</v>
      </c>
      <c r="AT72" s="8" t="str">
        <f ca="1"/>
        <v>Maturity</v>
      </c>
      <c r="AU72" s="8" t="str">
        <f ca="1"/>
        <v>x</v>
      </c>
      <c r="AV72" s="8" t="str">
        <f ca="1"/>
        <v>y</v>
      </c>
      <c r="AW72" s="8" t="str">
        <f ca="1"/>
        <v>Fixed?</v>
      </c>
      <c r="AX72" s="8" t="str">
        <f ca="1"/>
        <v>df</v>
      </c>
    </row>
    <row r="73" spans="39:50" x14ac:dyDescent="0.2">
      <c r="AR73" s="9">
        <f ca="1"/>
        <v>0</v>
      </c>
      <c r="AS73" s="9" t="str">
        <f ca="1"/>
        <v>N.A.</v>
      </c>
      <c r="AT73" s="9" t="str">
        <f ca="1"/>
        <v>N.A.</v>
      </c>
      <c r="AU73" s="9">
        <f ca="1"/>
        <v>0</v>
      </c>
      <c r="AV73" s="9">
        <f ca="1"/>
        <v>0</v>
      </c>
      <c r="AW73" s="9">
        <f ca="1"/>
        <v>1</v>
      </c>
      <c r="AX73" s="9">
        <f ca="1"/>
        <v>1</v>
      </c>
    </row>
    <row r="74" spans="39:50" x14ac:dyDescent="0.2">
      <c r="AR74" s="9">
        <f ca="1"/>
        <v>1</v>
      </c>
      <c r="AS74" s="9" t="str">
        <f ca="1"/>
        <v>Tenor Basis</v>
      </c>
      <c r="AT74" s="9" t="str">
        <f ca="1"/>
        <v>3M</v>
      </c>
      <c r="AU74" s="9">
        <f ca="1"/>
        <v>0.25205479452054796</v>
      </c>
      <c r="AV74" s="9">
        <f ca="1"/>
        <v>-1.0732653278755202E-3</v>
      </c>
      <c r="AW74" s="9">
        <f ca="1"/>
        <v>0</v>
      </c>
      <c r="AX74" s="9">
        <f ca="1"/>
        <v>1.0010738414832117</v>
      </c>
    </row>
    <row r="75" spans="39:50" x14ac:dyDescent="0.2">
      <c r="AR75" s="9">
        <f ca="1"/>
        <v>2</v>
      </c>
      <c r="AS75" s="9" t="str">
        <f ca="1"/>
        <v>Tenor Basis</v>
      </c>
      <c r="AT75" s="9" t="str">
        <f ca="1"/>
        <v>6M</v>
      </c>
      <c r="AU75" s="9">
        <f ca="1"/>
        <v>0.50958904109589043</v>
      </c>
      <c r="AV75" s="9">
        <f ca="1"/>
        <v>-1.9689796175978726E-3</v>
      </c>
      <c r="AW75" s="9">
        <f ca="1"/>
        <v>0</v>
      </c>
      <c r="AX75" s="9">
        <f ca="1"/>
        <v>1.0019709193308415</v>
      </c>
    </row>
    <row r="76" spans="39:50" x14ac:dyDescent="0.2">
      <c r="AR76" s="9">
        <f ca="1"/>
        <v>3</v>
      </c>
      <c r="AS76" s="9" t="str">
        <f ca="1"/>
        <v>Tenor Basis</v>
      </c>
      <c r="AT76" s="9" t="str">
        <f ca="1"/>
        <v>9M</v>
      </c>
      <c r="AU76" s="9">
        <f ca="1"/>
        <v>0.75068493150684934</v>
      </c>
      <c r="AV76" s="9">
        <f ca="1"/>
        <v>-2.5946325558737502E-3</v>
      </c>
      <c r="AW76" s="9">
        <f ca="1"/>
        <v>0</v>
      </c>
      <c r="AX76" s="9">
        <f ca="1"/>
        <v>1.002598001528042</v>
      </c>
    </row>
    <row r="77" spans="39:50" x14ac:dyDescent="0.2">
      <c r="AR77" s="9">
        <f ca="1"/>
        <v>4</v>
      </c>
      <c r="AS77" s="9" t="str">
        <f ca="1"/>
        <v>Cash</v>
      </c>
      <c r="AT77" s="9" t="str">
        <f ca="1"/>
        <v>1M</v>
      </c>
      <c r="AU77" s="9">
        <f ca="1"/>
        <v>1</v>
      </c>
      <c r="AV77" s="9">
        <f ca="1"/>
        <v>-3.9287903560697697E-3</v>
      </c>
      <c r="AW77" s="9">
        <f ca="1"/>
        <v>0</v>
      </c>
      <c r="AX77" s="9">
        <f ca="1"/>
        <v>1.0039365181699067</v>
      </c>
    </row>
    <row r="78" spans="39:50" x14ac:dyDescent="0.2">
      <c r="AR78" s="9">
        <f ca="1"/>
        <v>5</v>
      </c>
      <c r="AS78" s="9" t="str">
        <f ca="1"/>
        <v>Tenor Basis</v>
      </c>
      <c r="AT78" s="9" t="str">
        <f ca="1"/>
        <v>2Y</v>
      </c>
      <c r="AU78" s="9">
        <f ca="1"/>
        <v>2.0054794520547947</v>
      </c>
      <c r="AV78" s="9">
        <f ca="1"/>
        <v>-5.253335190440753E-3</v>
      </c>
      <c r="AW78" s="9">
        <f ca="1"/>
        <v>0</v>
      </c>
      <c r="AX78" s="9">
        <f ca="1"/>
        <v>1.0052671581506998</v>
      </c>
    </row>
    <row r="79" spans="39:50" x14ac:dyDescent="0.2">
      <c r="AR79" s="9">
        <f ca="1"/>
        <v>6</v>
      </c>
      <c r="AS79" s="9" t="str">
        <f ca="1"/>
        <v>Tenor Basis</v>
      </c>
      <c r="AT79" s="9" t="str">
        <f ca="1"/>
        <v>3Y</v>
      </c>
      <c r="AU79" s="9">
        <f ca="1"/>
        <v>3.0027397260273974</v>
      </c>
      <c r="AV79" s="9">
        <f ca="1"/>
        <v>-7.0967376763336294E-3</v>
      </c>
      <c r="AW79" s="9">
        <f ca="1"/>
        <v>0</v>
      </c>
      <c r="AX79" s="9">
        <f ca="1"/>
        <v>1.0071219791946389</v>
      </c>
    </row>
    <row r="80" spans="39:50" x14ac:dyDescent="0.2">
      <c r="AR80" s="9">
        <f ca="1"/>
        <v>7</v>
      </c>
      <c r="AS80" s="9" t="str">
        <f ca="1"/>
        <v>Tenor Basis</v>
      </c>
      <c r="AT80" s="9" t="str">
        <f ca="1"/>
        <v>4Y</v>
      </c>
      <c r="AU80" s="9">
        <f ca="1"/>
        <v>4.0027397260273974</v>
      </c>
      <c r="AV80" s="9">
        <f ca="1"/>
        <v>-8.5302575871094421E-3</v>
      </c>
      <c r="AW80" s="9">
        <f ca="1"/>
        <v>0</v>
      </c>
      <c r="AX80" s="9">
        <f ca="1"/>
        <v>1.0085667439064714</v>
      </c>
    </row>
    <row r="81" spans="44:50" x14ac:dyDescent="0.2">
      <c r="AR81" s="9">
        <f ca="1"/>
        <v>8</v>
      </c>
      <c r="AS81" s="9" t="str">
        <f ca="1"/>
        <v>Tenor Basis</v>
      </c>
      <c r="AT81" s="9" t="str">
        <f ca="1"/>
        <v>5Y</v>
      </c>
      <c r="AU81" s="9">
        <f ca="1"/>
        <v>5.0027397260273974</v>
      </c>
      <c r="AV81" s="9">
        <f ca="1"/>
        <v>-9.7410051670211353E-3</v>
      </c>
      <c r="AW81" s="9">
        <f ca="1"/>
        <v>0</v>
      </c>
      <c r="AX81" s="9">
        <f ca="1"/>
        <v>1.0097886031831553</v>
      </c>
    </row>
    <row r="82" spans="44:50" x14ac:dyDescent="0.2">
      <c r="AR82" s="9">
        <f ca="1"/>
        <v>9</v>
      </c>
      <c r="AS82" s="9" t="str">
        <f ca="1"/>
        <v>Tenor Basis</v>
      </c>
      <c r="AT82" s="9" t="str">
        <f ca="1"/>
        <v>7Y</v>
      </c>
      <c r="AU82" s="9">
        <f ca="1"/>
        <v>7.0109589041095894</v>
      </c>
      <c r="AV82" s="9">
        <f ca="1"/>
        <v>-1.1586036050486191E-2</v>
      </c>
      <c r="AW82" s="9">
        <f ca="1"/>
        <v>0</v>
      </c>
      <c r="AX82" s="9">
        <f ca="1"/>
        <v>1.0116534141296871</v>
      </c>
    </row>
    <row r="83" spans="44:50" x14ac:dyDescent="0.2">
      <c r="AR83" s="9">
        <f ca="1"/>
        <v>10</v>
      </c>
      <c r="AS83" s="9" t="str">
        <f ca="1"/>
        <v>Tenor Basis</v>
      </c>
      <c r="AT83" s="9" t="str">
        <f ca="1"/>
        <v>10Y</v>
      </c>
      <c r="AU83" s="9">
        <f ca="1"/>
        <v>10.005479452054795</v>
      </c>
      <c r="AV83" s="9">
        <f ca="1"/>
        <v>-1.3127776885260935E-2</v>
      </c>
      <c r="AW83" s="9">
        <f ca="1"/>
        <v>0</v>
      </c>
      <c r="AX83" s="9">
        <f ca="1"/>
        <v>1.0132143244593017</v>
      </c>
    </row>
    <row r="84" spans="44:50" x14ac:dyDescent="0.2">
      <c r="AR84" s="9">
        <f ca="1"/>
        <v>11</v>
      </c>
      <c r="AS84" s="9" t="str">
        <f ca="1"/>
        <v>Tenor Basis</v>
      </c>
      <c r="AT84" s="9" t="str">
        <f ca="1"/>
        <v>15Y</v>
      </c>
      <c r="AU84" s="9">
        <f ca="1"/>
        <v>15.010958904109589</v>
      </c>
      <c r="AV84" s="9">
        <f ca="1"/>
        <v>-1.5487576463282488E-2</v>
      </c>
      <c r="AW84" s="9">
        <f ca="1"/>
        <v>0</v>
      </c>
      <c r="AX84" s="9">
        <f ca="1"/>
        <v>1.0156081305350335</v>
      </c>
    </row>
    <row r="85" spans="44:50" x14ac:dyDescent="0.2">
      <c r="AR85" s="9">
        <f ca="1"/>
        <v>12</v>
      </c>
      <c r="AS85" s="9" t="str">
        <f ca="1"/>
        <v>Tenor Basis</v>
      </c>
      <c r="AT85" s="9" t="str">
        <f ca="1"/>
        <v>20Y</v>
      </c>
      <c r="AU85" s="9">
        <f ca="1"/>
        <v>20.013698630136986</v>
      </c>
      <c r="AV85" s="9">
        <f ca="1"/>
        <v>-1.7707305360030127E-2</v>
      </c>
      <c r="AW85" s="9">
        <f ca="1"/>
        <v>0</v>
      </c>
      <c r="AX85" s="9">
        <f ca="1"/>
        <v>1.0178650091528225</v>
      </c>
    </row>
    <row r="86" spans="44:50" x14ac:dyDescent="0.2">
      <c r="AR86" s="9">
        <f ca="1"/>
        <v>13</v>
      </c>
      <c r="AS86" s="9" t="str">
        <f ca="1"/>
        <v>Tenor Basis</v>
      </c>
      <c r="AT86" s="9" t="str">
        <f ca="1"/>
        <v>30Y</v>
      </c>
      <c r="AU86" s="9">
        <f ca="1"/>
        <v>30.024657534246575</v>
      </c>
      <c r="AV86" s="9">
        <f ca="1"/>
        <v>-2.2043008002100222E-2</v>
      </c>
      <c r="AW86" s="9">
        <f ca="1"/>
        <v>0</v>
      </c>
      <c r="AX86" s="9">
        <f ca="1"/>
        <v>1.0222877500786973</v>
      </c>
    </row>
    <row r="87" spans="44:50" x14ac:dyDescent="0.2">
      <c r="AR87" s="9">
        <f ca="1"/>
        <v>14</v>
      </c>
      <c r="AS87" s="9" t="str">
        <f ca="1"/>
        <v>Tenor Basis</v>
      </c>
      <c r="AT87" s="9" t="str">
        <f ca="1"/>
        <v>40Y</v>
      </c>
      <c r="AU87" s="9">
        <f ca="1"/>
        <v>40.027397260273972</v>
      </c>
      <c r="AV87" s="9">
        <f ca="1"/>
        <v>-3.1260488030567364E-2</v>
      </c>
      <c r="AW87" s="9">
        <f ca="1"/>
        <v>0</v>
      </c>
      <c r="AX87" s="9">
        <f ca="1"/>
        <v>1.0317542285122436</v>
      </c>
    </row>
    <row r="88" spans="44:50" x14ac:dyDescent="0.2">
      <c r="AR88" s="9">
        <f ca="1"/>
        <v>15</v>
      </c>
      <c r="AS88" s="9" t="str">
        <f ca="1"/>
        <v>Tenor Basis</v>
      </c>
      <c r="AT88" s="9" t="str">
        <f ca="1"/>
        <v>50Y</v>
      </c>
      <c r="AU88" s="9">
        <f ca="1"/>
        <v>50.032876712328765</v>
      </c>
      <c r="AV88" s="9">
        <f ca="1"/>
        <v>-4.04710617716076E-2</v>
      </c>
      <c r="AW88" s="9">
        <f ca="1"/>
        <v>0</v>
      </c>
      <c r="AX88" s="9">
        <f ca="1"/>
        <v>1.0413011758552573</v>
      </c>
    </row>
    <row r="89" spans="44:50" x14ac:dyDescent="0.2">
      <c r="AR89" s="9">
        <f ca="1"/>
        <v>16</v>
      </c>
      <c r="AS89" s="9" t="str">
        <f ca="1"/>
        <v>Tenor Basis</v>
      </c>
      <c r="AT89" s="9" t="str">
        <f ca="1"/>
        <v>60Y</v>
      </c>
      <c r="AU89" s="9">
        <f ca="1"/>
        <v>60.041095890410958</v>
      </c>
      <c r="AV89" s="9">
        <f ca="1"/>
        <v>-4.9682201008453934E-2</v>
      </c>
      <c r="AW89" s="9">
        <f ca="1"/>
        <v>0</v>
      </c>
      <c r="AX89" s="9">
        <f ca="1"/>
        <v>1.0509370565633234</v>
      </c>
    </row>
    <row r="91" spans="44:50" x14ac:dyDescent="0.2">
      <c r="AR91" s="1" t="str">
        <f ca="1">AO20</f>
        <v>6M</v>
      </c>
    </row>
    <row r="92" spans="44:50" x14ac:dyDescent="0.2">
      <c r="AR92" s="8" t="str">
        <f t="array" aca="1" ref="AR92:AX108" ca="1">_xll.LTTbl_Get(AP20)</f>
        <v>#</v>
      </c>
      <c r="AS92" s="8" t="str">
        <f ca="1"/>
        <v>Instrument</v>
      </c>
      <c r="AT92" s="8" t="str">
        <f ca="1"/>
        <v>Maturity</v>
      </c>
      <c r="AU92" s="8" t="str">
        <f ca="1"/>
        <v>x</v>
      </c>
      <c r="AV92" s="8" t="str">
        <f ca="1"/>
        <v>y</v>
      </c>
      <c r="AW92" s="8" t="str">
        <f ca="1"/>
        <v>Fixed?</v>
      </c>
      <c r="AX92" s="8" t="str">
        <f ca="1"/>
        <v>df</v>
      </c>
    </row>
    <row r="93" spans="44:50" x14ac:dyDescent="0.2">
      <c r="AR93" s="9">
        <f ca="1"/>
        <v>0</v>
      </c>
      <c r="AS93" s="9" t="str">
        <f ca="1"/>
        <v>N.A.</v>
      </c>
      <c r="AT93" s="9" t="str">
        <f ca="1"/>
        <v>N.A.</v>
      </c>
      <c r="AU93" s="9">
        <f ca="1"/>
        <v>0</v>
      </c>
      <c r="AV93" s="9">
        <f ca="1"/>
        <v>0</v>
      </c>
      <c r="AW93" s="9">
        <f ca="1"/>
        <v>1</v>
      </c>
      <c r="AX93" s="9">
        <f ca="1"/>
        <v>1</v>
      </c>
    </row>
    <row r="94" spans="44:50" x14ac:dyDescent="0.2">
      <c r="AR94" s="9">
        <f ca="1"/>
        <v>1</v>
      </c>
      <c r="AS94" s="9" t="str">
        <f ca="1"/>
        <v>Cash</v>
      </c>
      <c r="AT94" s="9" t="str">
        <f ca="1"/>
        <v>6M</v>
      </c>
      <c r="AU94" s="9">
        <f ca="1"/>
        <v>0.50958904109589043</v>
      </c>
      <c r="AV94" s="9">
        <f ca="1"/>
        <v>1.8440410699634392E-3</v>
      </c>
      <c r="AW94" s="9">
        <f ca="1"/>
        <v>0</v>
      </c>
      <c r="AX94" s="9">
        <f ca="1"/>
        <v>0.99815765812914559</v>
      </c>
    </row>
    <row r="95" spans="44:50" x14ac:dyDescent="0.2">
      <c r="AR95" s="9">
        <f ca="1"/>
        <v>2</v>
      </c>
      <c r="AS95" s="9" t="str">
        <f ca="1"/>
        <v>Tenor Basis</v>
      </c>
      <c r="AT95" s="9" t="str">
        <f ca="1"/>
        <v>9M</v>
      </c>
      <c r="AU95" s="9">
        <f ca="1"/>
        <v>0.75068493150684934</v>
      </c>
      <c r="AV95" s="9">
        <f ca="1"/>
        <v>1.4027055725903022E-3</v>
      </c>
      <c r="AW95" s="9">
        <f ca="1"/>
        <v>0</v>
      </c>
      <c r="AX95" s="9">
        <f ca="1"/>
        <v>0.99859827775904275</v>
      </c>
    </row>
    <row r="96" spans="44:50" x14ac:dyDescent="0.2">
      <c r="AR96" s="9">
        <f ca="1"/>
        <v>3</v>
      </c>
      <c r="AS96" s="9" t="str">
        <f ca="1"/>
        <v>Tenor Basis</v>
      </c>
      <c r="AT96" s="9" t="str">
        <f ca="1"/>
        <v>12M</v>
      </c>
      <c r="AU96" s="9">
        <f ca="1"/>
        <v>1</v>
      </c>
      <c r="AV96" s="9">
        <f ca="1"/>
        <v>1.7454349511038857E-3</v>
      </c>
      <c r="AW96" s="9">
        <f ca="1"/>
        <v>0</v>
      </c>
      <c r="AX96" s="9">
        <f ca="1"/>
        <v>0.99825608743460981</v>
      </c>
    </row>
    <row r="97" spans="44:50" x14ac:dyDescent="0.2">
      <c r="AR97" s="9">
        <f ca="1"/>
        <v>4</v>
      </c>
      <c r="AS97" s="9" t="str">
        <f ca="1"/>
        <v>Tenor Basis</v>
      </c>
      <c r="AT97" s="9" t="str">
        <f ca="1"/>
        <v>2Y</v>
      </c>
      <c r="AU97" s="9">
        <f ca="1"/>
        <v>2.0054794520547947</v>
      </c>
      <c r="AV97" s="9">
        <f ca="1"/>
        <v>2.8848473512725179E-3</v>
      </c>
      <c r="AW97" s="9">
        <f ca="1"/>
        <v>0</v>
      </c>
      <c r="AX97" s="9">
        <f ca="1"/>
        <v>0.99711930982228303</v>
      </c>
    </row>
    <row r="98" spans="44:50" x14ac:dyDescent="0.2">
      <c r="AR98" s="9">
        <f ca="1"/>
        <v>5</v>
      </c>
      <c r="AS98" s="9" t="str">
        <f ca="1"/>
        <v>Tenor Basis</v>
      </c>
      <c r="AT98" s="9" t="str">
        <f ca="1"/>
        <v>3Y</v>
      </c>
      <c r="AU98" s="9">
        <f ca="1"/>
        <v>3.0027397260273974</v>
      </c>
      <c r="AV98" s="9">
        <f ca="1"/>
        <v>3.4639870250658001E-3</v>
      </c>
      <c r="AW98" s="9">
        <f ca="1"/>
        <v>0</v>
      </c>
      <c r="AX98" s="9">
        <f ca="1"/>
        <v>0.99654200565646844</v>
      </c>
    </row>
    <row r="99" spans="44:50" x14ac:dyDescent="0.2">
      <c r="AR99" s="9">
        <f ca="1"/>
        <v>6</v>
      </c>
      <c r="AS99" s="9" t="str">
        <f ca="1"/>
        <v>Tenor Basis</v>
      </c>
      <c r="AT99" s="9" t="str">
        <f ca="1"/>
        <v>4Y</v>
      </c>
      <c r="AU99" s="9">
        <f ca="1"/>
        <v>4.0027397260273974</v>
      </c>
      <c r="AV99" s="9">
        <f ca="1"/>
        <v>3.9985813641512501E-3</v>
      </c>
      <c r="AW99" s="9">
        <f ca="1"/>
        <v>0</v>
      </c>
      <c r="AX99" s="9">
        <f ca="1"/>
        <v>0.99600940231763302</v>
      </c>
    </row>
    <row r="100" spans="44:50" x14ac:dyDescent="0.2">
      <c r="AR100" s="9">
        <f ca="1"/>
        <v>7</v>
      </c>
      <c r="AS100" s="9" t="str">
        <f ca="1"/>
        <v>Tenor Basis</v>
      </c>
      <c r="AT100" s="9" t="str">
        <f ca="1"/>
        <v>5Y</v>
      </c>
      <c r="AU100" s="9">
        <f ca="1"/>
        <v>5.0027397260273974</v>
      </c>
      <c r="AV100" s="9">
        <f ca="1"/>
        <v>4.4764568577393693E-3</v>
      </c>
      <c r="AW100" s="9">
        <f ca="1"/>
        <v>0</v>
      </c>
      <c r="AX100" s="9">
        <f ca="1"/>
        <v>0.99553354754160583</v>
      </c>
    </row>
    <row r="101" spans="44:50" x14ac:dyDescent="0.2">
      <c r="AR101" s="9">
        <f ca="1"/>
        <v>8</v>
      </c>
      <c r="AS101" s="9" t="str">
        <f ca="1"/>
        <v>Tenor Basis</v>
      </c>
      <c r="AT101" s="9" t="str">
        <f ca="1"/>
        <v>7Y</v>
      </c>
      <c r="AU101" s="9">
        <f ca="1"/>
        <v>7.0109589041095894</v>
      </c>
      <c r="AV101" s="9">
        <f ca="1"/>
        <v>5.5480016013222432E-3</v>
      </c>
      <c r="AW101" s="9">
        <f ca="1"/>
        <v>0</v>
      </c>
      <c r="AX101" s="9">
        <f ca="1"/>
        <v>0.99446736013744852</v>
      </c>
    </row>
    <row r="102" spans="44:50" x14ac:dyDescent="0.2">
      <c r="AR102" s="9">
        <f ca="1"/>
        <v>9</v>
      </c>
      <c r="AS102" s="9" t="str">
        <f ca="1"/>
        <v>Tenor Basis</v>
      </c>
      <c r="AT102" s="9" t="str">
        <f ca="1"/>
        <v>10Y</v>
      </c>
      <c r="AU102" s="9">
        <f ca="1"/>
        <v>10.005479452054795</v>
      </c>
      <c r="AV102" s="9">
        <f ca="1"/>
        <v>7.1068727774638817E-3</v>
      </c>
      <c r="AW102" s="9">
        <f ca="1"/>
        <v>0</v>
      </c>
      <c r="AX102" s="9">
        <f ca="1"/>
        <v>0.99291832132378588</v>
      </c>
    </row>
    <row r="103" spans="44:50" x14ac:dyDescent="0.2">
      <c r="AR103" s="9">
        <f ca="1"/>
        <v>10</v>
      </c>
      <c r="AS103" s="9" t="str">
        <f ca="1"/>
        <v>Tenor Basis</v>
      </c>
      <c r="AT103" s="9" t="str">
        <f ca="1"/>
        <v>15Y</v>
      </c>
      <c r="AU103" s="9">
        <f ca="1"/>
        <v>15.010958904109589</v>
      </c>
      <c r="AV103" s="9">
        <f ca="1"/>
        <v>9.9940131008537884E-3</v>
      </c>
      <c r="AW103" s="9">
        <f ca="1"/>
        <v>0</v>
      </c>
      <c r="AX103" s="9">
        <f ca="1"/>
        <v>0.9900557610954156</v>
      </c>
    </row>
    <row r="104" spans="44:50" x14ac:dyDescent="0.2">
      <c r="AR104" s="9">
        <f ca="1"/>
        <v>11</v>
      </c>
      <c r="AS104" s="9" t="str">
        <f ca="1"/>
        <v>Tenor Basis</v>
      </c>
      <c r="AT104" s="9" t="str">
        <f ca="1"/>
        <v>20Y</v>
      </c>
      <c r="AU104" s="9">
        <f ca="1"/>
        <v>20.013698630136986</v>
      </c>
      <c r="AV104" s="9">
        <f ca="1"/>
        <v>1.2894133048066306E-2</v>
      </c>
      <c r="AW104" s="9">
        <f ca="1"/>
        <v>0</v>
      </c>
      <c r="AX104" s="9">
        <f ca="1"/>
        <v>0.98718864014068597</v>
      </c>
    </row>
    <row r="105" spans="44:50" x14ac:dyDescent="0.2">
      <c r="AR105" s="9">
        <f ca="1"/>
        <v>12</v>
      </c>
      <c r="AS105" s="9" t="str">
        <f ca="1"/>
        <v>Tenor Basis</v>
      </c>
      <c r="AT105" s="9" t="str">
        <f ca="1"/>
        <v>30Y</v>
      </c>
      <c r="AU105" s="9">
        <f ca="1"/>
        <v>30.024657534246575</v>
      </c>
      <c r="AV105" s="9">
        <f ca="1"/>
        <v>1.9824438865675906E-2</v>
      </c>
      <c r="AW105" s="9">
        <f ca="1"/>
        <v>0</v>
      </c>
      <c r="AX105" s="9">
        <f ca="1"/>
        <v>0.98037077320428856</v>
      </c>
    </row>
    <row r="106" spans="44:50" x14ac:dyDescent="0.2">
      <c r="AR106" s="9">
        <f ca="1"/>
        <v>13</v>
      </c>
      <c r="AS106" s="9" t="str">
        <f ca="1"/>
        <v>Tenor Basis</v>
      </c>
      <c r="AT106" s="9" t="str">
        <f ca="1"/>
        <v>40Y</v>
      </c>
      <c r="AU106" s="9">
        <f ca="1"/>
        <v>40.027397260273972</v>
      </c>
      <c r="AV106" s="9">
        <f ca="1"/>
        <v>2.670176329870293E-2</v>
      </c>
      <c r="AW106" s="9">
        <f ca="1"/>
        <v>0</v>
      </c>
      <c r="AX106" s="9">
        <f ca="1"/>
        <v>0.97365157686235415</v>
      </c>
    </row>
    <row r="107" spans="44:50" x14ac:dyDescent="0.2">
      <c r="AR107" s="9">
        <f ca="1"/>
        <v>14</v>
      </c>
      <c r="AS107" s="9" t="str">
        <f ca="1"/>
        <v>Tenor Basis</v>
      </c>
      <c r="AT107" s="9" t="str">
        <f ca="1"/>
        <v>50Y</v>
      </c>
      <c r="AU107" s="9">
        <f ca="1"/>
        <v>50.032876712328765</v>
      </c>
      <c r="AV107" s="9">
        <f ca="1"/>
        <v>3.3552482515750451E-2</v>
      </c>
      <c r="AW107" s="9">
        <f ca="1"/>
        <v>0</v>
      </c>
      <c r="AX107" s="9">
        <f ca="1"/>
        <v>0.96700415908860438</v>
      </c>
    </row>
    <row r="108" spans="44:50" x14ac:dyDescent="0.2">
      <c r="AR108" s="9">
        <f ca="1"/>
        <v>15</v>
      </c>
      <c r="AS108" s="9" t="str">
        <f ca="1"/>
        <v>Tenor Basis</v>
      </c>
      <c r="AT108" s="9" t="str">
        <f ca="1"/>
        <v>60Y</v>
      </c>
      <c r="AU108" s="9">
        <f ca="1"/>
        <v>60.041095890410958</v>
      </c>
      <c r="AV108" s="9">
        <f ca="1"/>
        <v>4.0405107799765312E-2</v>
      </c>
      <c r="AW108" s="9">
        <f ca="1"/>
        <v>0</v>
      </c>
      <c r="AX108" s="9">
        <f ca="1"/>
        <v>0.96040029468464194</v>
      </c>
    </row>
    <row r="110" spans="44:50" x14ac:dyDescent="0.2">
      <c r="AR110" s="1" t="str">
        <f ca="1">AO21</f>
        <v>1Y</v>
      </c>
    </row>
    <row r="111" spans="44:50" x14ac:dyDescent="0.2">
      <c r="AR111" s="8" t="str">
        <f t="array" aca="1" ref="AR111:AX124" ca="1">_xll.LTTbl_Get(AP21)</f>
        <v>#</v>
      </c>
      <c r="AS111" s="8" t="str">
        <f ca="1"/>
        <v>Instrument</v>
      </c>
      <c r="AT111" s="8" t="str">
        <f ca="1"/>
        <v>Maturity</v>
      </c>
      <c r="AU111" s="8" t="str">
        <f ca="1"/>
        <v>x</v>
      </c>
      <c r="AV111" s="8" t="str">
        <f ca="1"/>
        <v>y</v>
      </c>
      <c r="AW111" s="8" t="str">
        <f ca="1"/>
        <v>Fixed?</v>
      </c>
      <c r="AX111" s="8" t="str">
        <f ca="1"/>
        <v>df</v>
      </c>
    </row>
    <row r="112" spans="44:50" x14ac:dyDescent="0.2">
      <c r="AR112" s="9">
        <f ca="1"/>
        <v>0</v>
      </c>
      <c r="AS112" s="9" t="str">
        <f ca="1"/>
        <v>N.A.</v>
      </c>
      <c r="AT112" s="9" t="str">
        <f ca="1"/>
        <v>N.A.</v>
      </c>
      <c r="AU112" s="9">
        <f ca="1"/>
        <v>0</v>
      </c>
      <c r="AV112" s="9">
        <f ca="1"/>
        <v>0</v>
      </c>
      <c r="AW112" s="9">
        <f ca="1"/>
        <v>1</v>
      </c>
      <c r="AX112" s="9">
        <f ca="1"/>
        <v>1</v>
      </c>
    </row>
    <row r="113" spans="44:50" x14ac:dyDescent="0.2">
      <c r="AR113" s="9">
        <f ca="1"/>
        <v>1</v>
      </c>
      <c r="AS113" s="9" t="str">
        <f ca="1"/>
        <v>Tenor Basis</v>
      </c>
      <c r="AT113" s="9" t="str">
        <f ca="1"/>
        <v>2Y</v>
      </c>
      <c r="AU113" s="9">
        <f ca="1"/>
        <v>2.0054794520547947</v>
      </c>
      <c r="AV113" s="9">
        <f ca="1"/>
        <v>2.3044086238150365E-3</v>
      </c>
      <c r="AW113" s="9">
        <f ca="1"/>
        <v>0</v>
      </c>
      <c r="AX113" s="9">
        <f ca="1"/>
        <v>0.99769824448739564</v>
      </c>
    </row>
    <row r="114" spans="44:50" x14ac:dyDescent="0.2">
      <c r="AR114" s="9">
        <f ca="1"/>
        <v>2</v>
      </c>
      <c r="AS114" s="9" t="str">
        <f ca="1"/>
        <v>Tenor Basis</v>
      </c>
      <c r="AT114" s="9" t="str">
        <f ca="1"/>
        <v>3Y</v>
      </c>
      <c r="AU114" s="9">
        <f ca="1"/>
        <v>3.0027397260273974</v>
      </c>
      <c r="AV114" s="9">
        <f ca="1"/>
        <v>3.3100481992287983E-3</v>
      </c>
      <c r="AW114" s="9">
        <f ca="1"/>
        <v>0</v>
      </c>
      <c r="AX114" s="9">
        <f ca="1"/>
        <v>0.99669542397093114</v>
      </c>
    </row>
    <row r="115" spans="44:50" x14ac:dyDescent="0.2">
      <c r="AR115" s="9">
        <f ca="1"/>
        <v>3</v>
      </c>
      <c r="AS115" s="9" t="str">
        <f ca="1"/>
        <v>Tenor Basis</v>
      </c>
      <c r="AT115" s="9" t="str">
        <f ca="1"/>
        <v>4Y</v>
      </c>
      <c r="AU115" s="9">
        <f ca="1"/>
        <v>4.0027397260273974</v>
      </c>
      <c r="AV115" s="9">
        <f ca="1"/>
        <v>4.2572021498985188E-3</v>
      </c>
      <c r="AW115" s="9">
        <f ca="1"/>
        <v>0</v>
      </c>
      <c r="AX115" s="9">
        <f ca="1"/>
        <v>0.99575184688942309</v>
      </c>
    </row>
    <row r="116" spans="44:50" x14ac:dyDescent="0.2">
      <c r="AR116" s="9">
        <f ca="1"/>
        <v>4</v>
      </c>
      <c r="AS116" s="9" t="str">
        <f ca="1"/>
        <v>Tenor Basis</v>
      </c>
      <c r="AT116" s="9" t="str">
        <f ca="1"/>
        <v>5Y</v>
      </c>
      <c r="AU116" s="9">
        <f ca="1"/>
        <v>5.0027397260273974</v>
      </c>
      <c r="AV116" s="9">
        <f ca="1"/>
        <v>5.1515691551694033E-3</v>
      </c>
      <c r="AW116" s="9">
        <f ca="1"/>
        <v>0</v>
      </c>
      <c r="AX116" s="9">
        <f ca="1"/>
        <v>0.99486167742056542</v>
      </c>
    </row>
    <row r="117" spans="44:50" x14ac:dyDescent="0.2">
      <c r="AR117" s="9">
        <f ca="1"/>
        <v>5</v>
      </c>
      <c r="AS117" s="9" t="str">
        <f ca="1"/>
        <v>Tenor Basis</v>
      </c>
      <c r="AT117" s="9" t="str">
        <f ca="1"/>
        <v>7Y</v>
      </c>
      <c r="AU117" s="9">
        <f ca="1"/>
        <v>7.0109589041095894</v>
      </c>
      <c r="AV117" s="9">
        <f ca="1"/>
        <v>6.4310761308485056E-3</v>
      </c>
      <c r="AW117" s="9">
        <f ca="1"/>
        <v>0</v>
      </c>
      <c r="AX117" s="9">
        <f ca="1"/>
        <v>0.99358955898023182</v>
      </c>
    </row>
    <row r="118" spans="44:50" x14ac:dyDescent="0.2">
      <c r="AR118" s="9">
        <f ca="1"/>
        <v>6</v>
      </c>
      <c r="AS118" s="9" t="str">
        <f ca="1"/>
        <v>Tenor Basis</v>
      </c>
      <c r="AT118" s="9" t="str">
        <f ca="1"/>
        <v>10Y</v>
      </c>
      <c r="AU118" s="9">
        <f ca="1"/>
        <v>10.005479452054795</v>
      </c>
      <c r="AV118" s="9">
        <f ca="1"/>
        <v>7.405369613881092E-3</v>
      </c>
      <c r="AW118" s="9">
        <f ca="1"/>
        <v>0</v>
      </c>
      <c r="AX118" s="9">
        <f ca="1"/>
        <v>0.99262198257633971</v>
      </c>
    </row>
    <row r="119" spans="44:50" x14ac:dyDescent="0.2">
      <c r="AR119" s="9">
        <f ca="1"/>
        <v>7</v>
      </c>
      <c r="AS119" s="9" t="str">
        <f ca="1"/>
        <v>Tenor Basis</v>
      </c>
      <c r="AT119" s="9" t="str">
        <f ca="1"/>
        <v>15Y</v>
      </c>
      <c r="AU119" s="9">
        <f ca="1"/>
        <v>15.010958904109589</v>
      </c>
      <c r="AV119" s="9">
        <f ca="1"/>
        <v>9.299205907873323E-3</v>
      </c>
      <c r="AW119" s="9">
        <f ca="1"/>
        <v>0</v>
      </c>
      <c r="AX119" s="9">
        <f ca="1"/>
        <v>0.99074389799322604</v>
      </c>
    </row>
    <row r="120" spans="44:50" x14ac:dyDescent="0.2">
      <c r="AR120" s="9">
        <f ca="1"/>
        <v>8</v>
      </c>
      <c r="AS120" s="9" t="str">
        <f ca="1"/>
        <v>Tenor Basis</v>
      </c>
      <c r="AT120" s="9" t="str">
        <f ca="1"/>
        <v>20Y</v>
      </c>
      <c r="AU120" s="9">
        <f ca="1"/>
        <v>20.013698630136986</v>
      </c>
      <c r="AV120" s="9">
        <f ca="1"/>
        <v>1.0843559618819191E-2</v>
      </c>
      <c r="AW120" s="9">
        <f ca="1"/>
        <v>0</v>
      </c>
      <c r="AX120" s="9">
        <f ca="1"/>
        <v>0.9892150198459515</v>
      </c>
    </row>
    <row r="121" spans="44:50" x14ac:dyDescent="0.2">
      <c r="AR121" s="9">
        <f ca="1"/>
        <v>9</v>
      </c>
      <c r="AS121" s="9" t="str">
        <f ca="1"/>
        <v>Tenor Basis</v>
      </c>
      <c r="AT121" s="9" t="str">
        <f ca="1"/>
        <v>30Y</v>
      </c>
      <c r="AU121" s="9">
        <f ca="1"/>
        <v>30.024657534246575</v>
      </c>
      <c r="AV121" s="9">
        <f ca="1"/>
        <v>1.4853621320392786E-2</v>
      </c>
      <c r="AW121" s="9">
        <f ca="1"/>
        <v>0</v>
      </c>
      <c r="AX121" s="9">
        <f ca="1"/>
        <v>0.9852561495424198</v>
      </c>
    </row>
    <row r="122" spans="44:50" x14ac:dyDescent="0.2">
      <c r="AR122" s="9">
        <f ca="1"/>
        <v>10</v>
      </c>
      <c r="AS122" s="9" t="str">
        <f ca="1"/>
        <v>Tenor Basis</v>
      </c>
      <c r="AT122" s="9" t="str">
        <f ca="1"/>
        <v>40Y</v>
      </c>
      <c r="AU122" s="9">
        <f ca="1"/>
        <v>40.027397260273972</v>
      </c>
      <c r="AV122" s="9">
        <f ca="1"/>
        <v>2.0661988470391985E-2</v>
      </c>
      <c r="AW122" s="9">
        <f ca="1"/>
        <v>0</v>
      </c>
      <c r="AX122" s="9">
        <f ca="1"/>
        <v>0.97955000781455981</v>
      </c>
    </row>
    <row r="123" spans="44:50" x14ac:dyDescent="0.2">
      <c r="AR123" s="9">
        <f ca="1"/>
        <v>11</v>
      </c>
      <c r="AS123" s="9" t="str">
        <f ca="1"/>
        <v>Tenor Basis</v>
      </c>
      <c r="AT123" s="9" t="str">
        <f ca="1"/>
        <v>50Y</v>
      </c>
      <c r="AU123" s="9">
        <f ca="1"/>
        <v>50.032876712328765</v>
      </c>
      <c r="AV123" s="9">
        <f ca="1"/>
        <v>2.6426078692534775E-2</v>
      </c>
      <c r="AW123" s="9">
        <f ca="1"/>
        <v>0</v>
      </c>
      <c r="AX123" s="9">
        <f ca="1"/>
        <v>0.97392003461700138</v>
      </c>
    </row>
    <row r="124" spans="44:50" x14ac:dyDescent="0.2">
      <c r="AR124" s="9">
        <f ca="1"/>
        <v>12</v>
      </c>
      <c r="AS124" s="9" t="str">
        <f ca="1"/>
        <v>Tenor Basis</v>
      </c>
      <c r="AT124" s="9" t="str">
        <f ca="1"/>
        <v>60Y</v>
      </c>
      <c r="AU124" s="9">
        <f ca="1"/>
        <v>60.041095890410958</v>
      </c>
      <c r="AV124" s="9">
        <f ca="1"/>
        <v>3.2188812046478527E-2</v>
      </c>
      <c r="AW124" s="9">
        <f ca="1"/>
        <v>0</v>
      </c>
      <c r="AX124" s="9">
        <f ca="1"/>
        <v>0.96832373363194524</v>
      </c>
    </row>
    <row r="126" spans="44:50" x14ac:dyDescent="0.2">
      <c r="AR126" s="1" t="str">
        <f ca="1">AO22</f>
        <v>Structure</v>
      </c>
    </row>
    <row r="127" spans="44:50" x14ac:dyDescent="0.2">
      <c r="AR127" s="8" t="str">
        <f t="array" aca="1" ref="AR127:AX130" ca="1">_xll.LTTbl_Get(AP22)</f>
        <v>#</v>
      </c>
      <c r="AS127" s="8" t="str">
        <f ca="1"/>
        <v>Instrument</v>
      </c>
      <c r="AT127" s="8" t="str">
        <f ca="1"/>
        <v>Maturity</v>
      </c>
      <c r="AU127" s="8" t="str">
        <f ca="1"/>
        <v>x</v>
      </c>
      <c r="AV127" s="8" t="str">
        <f ca="1"/>
        <v>y</v>
      </c>
      <c r="AW127" s="8" t="str">
        <f ca="1"/>
        <v>Fixed?</v>
      </c>
      <c r="AX127" s="8" t="str">
        <f ca="1"/>
        <v>df</v>
      </c>
    </row>
    <row r="128" spans="44:50" x14ac:dyDescent="0.2">
      <c r="AR128" s="9">
        <f ca="1"/>
        <v>0</v>
      </c>
      <c r="AS128" s="9" t="str">
        <f ca="1"/>
        <v>Turns</v>
      </c>
      <c r="AT128" s="9" t="str">
        <f ca="1"/>
        <v>2009-Dec-31</v>
      </c>
      <c r="AU128" s="9">
        <f ca="1"/>
        <v>0.47945205479452052</v>
      </c>
      <c r="AV128" s="9">
        <f ca="1"/>
        <v>9.1000000000000004E-3</v>
      </c>
      <c r="AW128" s="9">
        <f ca="1"/>
        <v>1</v>
      </c>
      <c r="AX128" s="9">
        <f ca="1"/>
        <v>1</v>
      </c>
    </row>
    <row r="129" spans="44:50" x14ac:dyDescent="0.2">
      <c r="AR129" s="9">
        <f ca="1"/>
        <v>1</v>
      </c>
      <c r="AS129" s="9" t="str">
        <f ca="1"/>
        <v>Turns</v>
      </c>
      <c r="AT129" s="9" t="str">
        <f ca="1"/>
        <v>2010-Dec-31</v>
      </c>
      <c r="AU129" s="9">
        <f ca="1"/>
        <v>1.4794520547945205</v>
      </c>
      <c r="AV129" s="9">
        <f ca="1"/>
        <v>9.1000000000000011E-4</v>
      </c>
      <c r="AW129" s="9">
        <f ca="1"/>
        <v>1</v>
      </c>
      <c r="AX129" s="9">
        <f ca="1"/>
        <v>0.99997506880393816</v>
      </c>
    </row>
    <row r="130" spans="44:50" x14ac:dyDescent="0.2">
      <c r="AR130" s="9">
        <f ca="1"/>
        <v>2</v>
      </c>
      <c r="AS130" s="9" t="str">
        <f ca="1"/>
        <v>Turns</v>
      </c>
      <c r="AT130" s="9" t="str">
        <f ca="1"/>
        <v>2011-Dec-31</v>
      </c>
      <c r="AU130" s="9">
        <f ca="1"/>
        <v>2.4794520547945207</v>
      </c>
      <c r="AV130" s="9">
        <f ca="1"/>
        <v>9.1000000000000011E-4</v>
      </c>
      <c r="AW130" s="9">
        <f ca="1"/>
        <v>1</v>
      </c>
      <c r="AX130" s="9">
        <f ca="1"/>
        <v>0.99997257571851828</v>
      </c>
    </row>
  </sheetData>
  <mergeCells count="1">
    <mergeCell ref="Z5:AD5"/>
  </mergeCells>
  <pageMargins left="0.75" right="0.75" top="1" bottom="1" header="0.5" footer="0.5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indexed="41"/>
  </sheetPr>
  <dimension ref="B1:AU69"/>
  <sheetViews>
    <sheetView showGridLines="0" topLeftCell="X1" zoomScale="85" workbookViewId="0">
      <selection activeCell="X27" sqref="X27"/>
    </sheetView>
  </sheetViews>
  <sheetFormatPr defaultColWidth="9.28515625" defaultRowHeight="12.75" x14ac:dyDescent="0.2"/>
  <cols>
    <col min="1" max="1" width="3.7109375" style="1" customWidth="1"/>
    <col min="2" max="3" width="20.7109375" style="1" customWidth="1"/>
    <col min="4" max="4" width="3.7109375" style="1" customWidth="1"/>
    <col min="5" max="12" width="10.7109375" style="1" customWidth="1"/>
    <col min="13" max="13" width="3.7109375" style="1" customWidth="1"/>
    <col min="14" max="17" width="10.7109375" style="1" customWidth="1"/>
    <col min="18" max="18" width="3.7109375" style="1" customWidth="1"/>
    <col min="19" max="22" width="10.7109375" style="1" customWidth="1"/>
    <col min="23" max="23" width="3.7109375" style="1" customWidth="1"/>
    <col min="24" max="30" width="10.7109375" style="1" customWidth="1"/>
    <col min="31" max="31" width="3.7109375" style="1" customWidth="1"/>
    <col min="32" max="38" width="20.7109375" style="1" customWidth="1"/>
    <col min="39" max="39" width="3.7109375" style="1" customWidth="1"/>
    <col min="40" max="46" width="10.7109375" style="1" customWidth="1"/>
    <col min="47" max="47" width="3.7109375" style="1" customWidth="1"/>
    <col min="48" max="16384" width="9.28515625" style="1"/>
  </cols>
  <sheetData>
    <row r="1" spans="2:47" x14ac:dyDescent="0.2">
      <c r="N1" s="3"/>
    </row>
    <row r="2" spans="2:47" x14ac:dyDescent="0.2">
      <c r="B2" s="1" t="s">
        <v>0</v>
      </c>
      <c r="C2" s="4" t="str">
        <f ca="1">_xll.LTTbl_Create(C10,B3:C6,"row")</f>
        <v>IR-EUR EURIB-COBL@09072009::TBL[131]@10:49:18-20140424</v>
      </c>
      <c r="E2" s="5" t="s">
        <v>1</v>
      </c>
      <c r="F2" s="5"/>
      <c r="G2" s="5"/>
      <c r="H2" s="5"/>
      <c r="I2" s="5"/>
      <c r="J2" s="5"/>
      <c r="K2" s="5"/>
      <c r="L2" s="5"/>
      <c r="N2" s="5" t="s">
        <v>2</v>
      </c>
      <c r="O2" s="5"/>
      <c r="P2" s="5"/>
      <c r="Q2" s="5"/>
      <c r="S2" s="5" t="s">
        <v>3</v>
      </c>
      <c r="T2" s="5"/>
      <c r="U2" s="5"/>
      <c r="V2" s="5"/>
      <c r="X2" s="5" t="s">
        <v>4</v>
      </c>
      <c r="Y2" s="5"/>
      <c r="Z2" s="5"/>
      <c r="AA2" s="5"/>
      <c r="AB2" s="5"/>
      <c r="AC2" s="5"/>
      <c r="AD2" s="5"/>
      <c r="AF2" s="5" t="s">
        <v>32</v>
      </c>
      <c r="AG2" s="5"/>
      <c r="AH2" s="5"/>
      <c r="AI2" s="5"/>
      <c r="AJ2" s="5"/>
      <c r="AK2" s="5"/>
      <c r="AL2" s="5"/>
      <c r="AN2" s="5" t="s">
        <v>135</v>
      </c>
      <c r="AO2" s="5"/>
      <c r="AP2" s="5"/>
      <c r="AQ2" s="5"/>
      <c r="AR2" s="5"/>
      <c r="AS2" s="5"/>
      <c r="AT2" s="5"/>
      <c r="AU2" s="33"/>
    </row>
    <row r="3" spans="2:47" x14ac:dyDescent="0.2">
      <c r="B3" s="6" t="s">
        <v>6</v>
      </c>
      <c r="C3" s="7" t="str">
        <f ca="1">C9</f>
        <v>Curve Details::TBL[120]@10:49:18-20140424</v>
      </c>
    </row>
    <row r="4" spans="2:47" x14ac:dyDescent="0.2">
      <c r="B4" s="6" t="s">
        <v>11</v>
      </c>
      <c r="C4" s="10" t="str">
        <f ca="1">C20</f>
        <v>Curve Parameters::TBL[116]@10:49:18-20140424</v>
      </c>
      <c r="E4" s="1" t="s">
        <v>12</v>
      </c>
      <c r="F4" s="1" t="str">
        <f ca="1">_xll.LTTbl_Create(E4,E5:H16)</f>
        <v>Cash::TBL[128]@10:49:18-20140424</v>
      </c>
      <c r="N4" s="1" t="s">
        <v>13</v>
      </c>
      <c r="O4" s="1" t="str">
        <f ca="1">_xll.LTTbl_Create(N4,N5:Q23)</f>
        <v>CcySwaps::TBL[127]@10:49:18-20140424</v>
      </c>
      <c r="R4" s="46" t="s">
        <v>136</v>
      </c>
      <c r="S4" s="1" t="s">
        <v>14</v>
      </c>
      <c r="T4" s="1" t="str">
        <f ca="1">_xll.LTTbl_Create(S4,S5:V19)</f>
        <v>Turns::TBL[126]@10:49:18-20140424</v>
      </c>
      <c r="X4" s="1" t="str">
        <f ca="1">_xll.LTTbl_Create(X5,X5:X24)</f>
        <v>Maturity::TBL[125]@10:49:18-20140424</v>
      </c>
      <c r="Y4" s="1" t="str">
        <f ca="1">_xll.LTTbl_Create(Y5,Y5:Y24)</f>
        <v>Tenor::TBL[124]@10:49:18-20140424</v>
      </c>
      <c r="Z4" s="1" t="str">
        <f ca="1">_xll.LTTbl_Create(Z5,Z6:AD24)</f>
        <v>Values::TBL[123]@10:49:18-20140424</v>
      </c>
      <c r="AF4" s="11" t="s">
        <v>15</v>
      </c>
      <c r="AG4" s="11" t="str">
        <f ca="1">_xll.LTTbl_Create(AF4,AF5:AG12,"row")</f>
        <v>Model Parameters::TBL[122]@10:49:18-20140424</v>
      </c>
      <c r="AI4" s="13"/>
      <c r="AN4" s="1" t="s">
        <v>137</v>
      </c>
      <c r="AO4" s="1" t="str">
        <f ca="1">_xll.LTTbl_Create(AN4,AN5:AO6)</f>
        <v>SpineCurvesQuery::TBL[121]@10:49:18-20140424</v>
      </c>
    </row>
    <row r="5" spans="2:47" x14ac:dyDescent="0.2">
      <c r="B5" s="6" t="s">
        <v>17</v>
      </c>
      <c r="C5" s="7" t="str">
        <f ca="1">C32</f>
        <v>Instrument List::TBL[129]@10:49:18-20140424</v>
      </c>
      <c r="D5" s="46" t="s">
        <v>136</v>
      </c>
      <c r="E5" s="15" t="s">
        <v>18</v>
      </c>
      <c r="F5" s="15" t="s">
        <v>19</v>
      </c>
      <c r="G5" s="15" t="s">
        <v>20</v>
      </c>
      <c r="H5" s="15" t="s">
        <v>21</v>
      </c>
      <c r="N5" s="15" t="s">
        <v>18</v>
      </c>
      <c r="O5" s="15" t="s">
        <v>22</v>
      </c>
      <c r="P5" s="15" t="s">
        <v>23</v>
      </c>
      <c r="Q5" s="15" t="s">
        <v>21</v>
      </c>
      <c r="S5" s="15" t="s">
        <v>24</v>
      </c>
      <c r="T5" s="15" t="s">
        <v>22</v>
      </c>
      <c r="U5" s="15" t="s">
        <v>25</v>
      </c>
      <c r="V5" s="15" t="s">
        <v>26</v>
      </c>
      <c r="X5" s="6" t="s">
        <v>8</v>
      </c>
      <c r="Y5" s="6" t="s">
        <v>18</v>
      </c>
      <c r="Z5" s="16" t="s">
        <v>27</v>
      </c>
      <c r="AA5" s="18"/>
      <c r="AB5" s="18"/>
      <c r="AC5" s="18"/>
      <c r="AD5" s="17"/>
      <c r="AF5" s="48" t="s">
        <v>28</v>
      </c>
      <c r="AG5" s="49" t="s">
        <v>29</v>
      </c>
      <c r="AN5" s="6" t="s">
        <v>47</v>
      </c>
      <c r="AO5" s="6" t="s">
        <v>7</v>
      </c>
    </row>
    <row r="6" spans="2:47" x14ac:dyDescent="0.2">
      <c r="B6" s="6" t="s">
        <v>5</v>
      </c>
      <c r="C6" s="10" t="s">
        <v>138</v>
      </c>
      <c r="D6" s="46" t="s">
        <v>136</v>
      </c>
      <c r="E6" s="20" t="s">
        <v>42</v>
      </c>
      <c r="F6" s="21">
        <v>4.1120000000000002E-3</v>
      </c>
      <c r="G6" s="22">
        <v>40003</v>
      </c>
      <c r="H6" s="22">
        <v>40010</v>
      </c>
      <c r="N6" s="20" t="s">
        <v>34</v>
      </c>
      <c r="O6" s="21">
        <v>-3.65E-3</v>
      </c>
      <c r="P6" s="22">
        <v>40003</v>
      </c>
      <c r="Q6" s="22">
        <v>40368</v>
      </c>
      <c r="S6" s="22">
        <v>40178</v>
      </c>
      <c r="T6" s="21">
        <v>1E-4</v>
      </c>
      <c r="U6" s="23">
        <v>40178</v>
      </c>
      <c r="V6" s="22">
        <v>40179</v>
      </c>
      <c r="X6" s="9" t="s">
        <v>35</v>
      </c>
      <c r="Y6" s="9" t="s">
        <v>33</v>
      </c>
      <c r="Z6" s="24">
        <v>4.2709999999999996E-3</v>
      </c>
      <c r="AA6" s="24">
        <v>4.2709999999999996E-3</v>
      </c>
      <c r="AB6" s="24">
        <v>0</v>
      </c>
      <c r="AC6" s="24">
        <v>1.9765999999999998E-3</v>
      </c>
      <c r="AD6" s="24">
        <v>2.9648600000000002E-3</v>
      </c>
      <c r="AF6" s="48" t="s">
        <v>36</v>
      </c>
      <c r="AG6" s="36" t="str">
        <f ca="1">AG14</f>
        <v>Solver Parameters::TBL[119]@10:49:18-20140424</v>
      </c>
      <c r="AN6" s="9" t="s">
        <v>51</v>
      </c>
      <c r="AO6" s="9"/>
    </row>
    <row r="7" spans="2:47" x14ac:dyDescent="0.2">
      <c r="D7" s="46" t="s">
        <v>136</v>
      </c>
      <c r="E7" s="20"/>
      <c r="F7" s="21"/>
      <c r="G7" s="22"/>
      <c r="H7" s="22"/>
      <c r="N7" s="20" t="s">
        <v>40</v>
      </c>
      <c r="O7" s="21">
        <v>-3.65E-3</v>
      </c>
      <c r="P7" s="22">
        <v>40003</v>
      </c>
      <c r="Q7" s="22">
        <v>40735</v>
      </c>
      <c r="S7" s="22">
        <v>40543</v>
      </c>
      <c r="T7" s="21">
        <v>1.0000000000000001E-5</v>
      </c>
      <c r="U7" s="23">
        <v>40543</v>
      </c>
      <c r="V7" s="22">
        <v>40544</v>
      </c>
      <c r="X7" s="9" t="s">
        <v>31</v>
      </c>
      <c r="Y7" s="9" t="s">
        <v>35</v>
      </c>
      <c r="Z7" s="24">
        <v>4.2709999999999996E-3</v>
      </c>
      <c r="AA7" s="24">
        <v>4.2709999999999996E-3</v>
      </c>
      <c r="AB7" s="24">
        <v>0</v>
      </c>
      <c r="AC7" s="24">
        <v>1.9765999999999998E-3</v>
      </c>
      <c r="AD7" s="24">
        <v>2.9648600000000002E-3</v>
      </c>
      <c r="AF7" s="48" t="s">
        <v>41</v>
      </c>
      <c r="AG7" s="36" t="str">
        <f ca="1">AH26</f>
        <v>Curve Interpolation::TBL[115]@10:49:18-20140424</v>
      </c>
    </row>
    <row r="8" spans="2:47" x14ac:dyDescent="0.2">
      <c r="D8" s="46" t="s">
        <v>136</v>
      </c>
      <c r="E8" s="20"/>
      <c r="F8" s="21"/>
      <c r="G8" s="22"/>
      <c r="H8" s="22"/>
      <c r="N8" s="20" t="s">
        <v>43</v>
      </c>
      <c r="O8" s="21">
        <v>-3.65E-3</v>
      </c>
      <c r="P8" s="22">
        <v>40003</v>
      </c>
      <c r="Q8" s="22">
        <v>41099</v>
      </c>
      <c r="S8" s="22">
        <v>40908</v>
      </c>
      <c r="T8" s="21">
        <v>1.0000000000000001E-5</v>
      </c>
      <c r="U8" s="23">
        <v>40908</v>
      </c>
      <c r="V8" s="22">
        <v>40909</v>
      </c>
      <c r="X8" s="9" t="s">
        <v>44</v>
      </c>
      <c r="Y8" s="9" t="s">
        <v>31</v>
      </c>
      <c r="Z8" s="24">
        <v>3.8734239999999999E-3</v>
      </c>
      <c r="AA8" s="24">
        <v>3.8734239999999999E-3</v>
      </c>
      <c r="AB8" s="24">
        <v>0</v>
      </c>
      <c r="AC8" s="24">
        <v>1.9765999999999998E-3</v>
      </c>
      <c r="AD8" s="24">
        <v>2.9648600000000002E-3</v>
      </c>
      <c r="AF8" s="48" t="s">
        <v>45</v>
      </c>
      <c r="AG8" s="36" t="s">
        <v>46</v>
      </c>
      <c r="AN8" s="6" t="s">
        <v>139</v>
      </c>
      <c r="AO8" s="9" t="str">
        <f ca="1">_xll.QLIL_apply(C44,AN8,AO4)</f>
        <v>Result::TBL[145]@10:49:18-20140424</v>
      </c>
    </row>
    <row r="9" spans="2:47" x14ac:dyDescent="0.2">
      <c r="B9" s="1" t="s">
        <v>6</v>
      </c>
      <c r="C9" s="4" t="str">
        <f ca="1">_xll.LTTbl_Create(B9,B10:C18,"row")</f>
        <v>Curve Details::TBL[120]@10:49:18-20140424</v>
      </c>
      <c r="D9" s="46" t="s">
        <v>136</v>
      </c>
      <c r="E9" s="20"/>
      <c r="F9" s="21"/>
      <c r="G9" s="22"/>
      <c r="H9" s="22"/>
      <c r="N9" s="20" t="s">
        <v>48</v>
      </c>
      <c r="O9" s="21">
        <v>-3.7000000000000002E-3</v>
      </c>
      <c r="P9" s="22">
        <v>40003</v>
      </c>
      <c r="Q9" s="22">
        <v>41464</v>
      </c>
      <c r="S9" s="22"/>
      <c r="T9" s="21"/>
      <c r="U9" s="20"/>
      <c r="V9" s="22"/>
      <c r="X9" s="9" t="s">
        <v>49</v>
      </c>
      <c r="Y9" s="9" t="s">
        <v>44</v>
      </c>
      <c r="Z9" s="24">
        <v>3.4867119999999999E-3</v>
      </c>
      <c r="AA9" s="24">
        <v>3.4867119999999999E-3</v>
      </c>
      <c r="AB9" s="24">
        <v>0</v>
      </c>
      <c r="AC9" s="24">
        <v>1.8883000000000001E-3</v>
      </c>
      <c r="AD9" s="24">
        <v>2.8324320000000002E-3</v>
      </c>
      <c r="AF9" s="48" t="s">
        <v>50</v>
      </c>
      <c r="AG9" s="49" t="str">
        <f ca="1">AG18</f>
        <v>Cache Parameters::TBL[117]@10:49:18-20140424</v>
      </c>
    </row>
    <row r="10" spans="2:47" x14ac:dyDescent="0.2">
      <c r="B10" s="6" t="s">
        <v>47</v>
      </c>
      <c r="C10" s="10" t="str">
        <f ca="1">"IR-"&amp;C17&amp;" "&amp;C18&amp;"-COBL@"&amp;TEXT(C13,"ddmmyyyy")</f>
        <v>IR-EUR EURIB-COBL@09072009</v>
      </c>
      <c r="E10" s="20"/>
      <c r="F10" s="21"/>
      <c r="G10" s="22"/>
      <c r="H10" s="22"/>
      <c r="N10" s="20" t="s">
        <v>53</v>
      </c>
      <c r="O10" s="21">
        <v>-3.7000000000000002E-3</v>
      </c>
      <c r="P10" s="22">
        <v>40003</v>
      </c>
      <c r="Q10" s="22">
        <v>41829</v>
      </c>
      <c r="S10" s="22"/>
      <c r="T10" s="21"/>
      <c r="U10" s="20"/>
      <c r="V10" s="22"/>
      <c r="X10" s="9" t="s">
        <v>54</v>
      </c>
      <c r="Y10" s="9" t="s">
        <v>54</v>
      </c>
      <c r="Z10" s="24">
        <v>3.0999999999999999E-3</v>
      </c>
      <c r="AA10" s="24">
        <v>3.0999999999999999E-3</v>
      </c>
      <c r="AB10" s="24">
        <v>0</v>
      </c>
      <c r="AC10" s="24">
        <v>1.8E-3</v>
      </c>
      <c r="AD10" s="24">
        <v>1.25E-3</v>
      </c>
      <c r="AF10" s="48" t="s">
        <v>55</v>
      </c>
      <c r="AG10" s="49" t="s">
        <v>31</v>
      </c>
      <c r="AN10" s="1" t="s">
        <v>140</v>
      </c>
    </row>
    <row r="11" spans="2:47" x14ac:dyDescent="0.2">
      <c r="B11" s="6" t="s">
        <v>56</v>
      </c>
      <c r="C11" s="7" t="s">
        <v>57</v>
      </c>
      <c r="D11" s="46" t="s">
        <v>136</v>
      </c>
      <c r="E11" s="20"/>
      <c r="F11" s="21"/>
      <c r="G11" s="22"/>
      <c r="H11" s="22"/>
      <c r="N11" s="20" t="s">
        <v>58</v>
      </c>
      <c r="O11" s="21">
        <v>-3.5999999999999999E-3</v>
      </c>
      <c r="P11" s="22">
        <v>40003</v>
      </c>
      <c r="Q11" s="22">
        <v>42194</v>
      </c>
      <c r="S11" s="22"/>
      <c r="T11" s="21"/>
      <c r="U11" s="20"/>
      <c r="V11" s="22"/>
      <c r="X11" s="9" t="s">
        <v>40</v>
      </c>
      <c r="Y11" s="9"/>
      <c r="Z11" s="24">
        <v>2.65E-3</v>
      </c>
      <c r="AA11" s="24">
        <v>2.65E-3</v>
      </c>
      <c r="AB11" s="24">
        <v>0</v>
      </c>
      <c r="AC11" s="24">
        <v>1.475E-3</v>
      </c>
      <c r="AD11" s="24">
        <v>1.175E-3</v>
      </c>
      <c r="AF11" s="48" t="s">
        <v>59</v>
      </c>
      <c r="AG11" s="36" t="s">
        <v>60</v>
      </c>
      <c r="AN11" s="39" t="str">
        <f t="array" aca="1" ref="AN11:AT27" ca="1">_xll.LTTbl_Get(_xll.LTTbl_GetByXPath(AO8,AN10))</f>
        <v>#</v>
      </c>
      <c r="AO11" s="39" t="str">
        <f ca="1"/>
        <v>Instrument</v>
      </c>
      <c r="AP11" s="39" t="str">
        <f ca="1"/>
        <v>Maturity</v>
      </c>
      <c r="AQ11" s="39" t="str">
        <f ca="1"/>
        <v>x</v>
      </c>
      <c r="AR11" s="39" t="str">
        <f ca="1"/>
        <v>y</v>
      </c>
      <c r="AS11" s="39" t="str">
        <f ca="1"/>
        <v>Fixed?</v>
      </c>
      <c r="AT11" s="39" t="str">
        <f ca="1"/>
        <v>df</v>
      </c>
      <c r="AU11" s="2"/>
    </row>
    <row r="12" spans="2:47" x14ac:dyDescent="0.2">
      <c r="B12" s="6" t="s">
        <v>61</v>
      </c>
      <c r="C12" s="10"/>
      <c r="E12" s="20"/>
      <c r="F12" s="21"/>
      <c r="G12" s="22"/>
      <c r="H12" s="22"/>
      <c r="N12" s="20" t="s">
        <v>62</v>
      </c>
      <c r="O12" s="21">
        <v>-3.5000000000000001E-3</v>
      </c>
      <c r="P12" s="22">
        <v>40003</v>
      </c>
      <c r="Q12" s="22">
        <v>42562</v>
      </c>
      <c r="S12" s="22"/>
      <c r="T12" s="21"/>
      <c r="U12" s="20"/>
      <c r="V12" s="22"/>
      <c r="X12" s="9" t="s">
        <v>43</v>
      </c>
      <c r="Y12" s="9"/>
      <c r="Z12" s="24">
        <v>2.3999999999999998E-3</v>
      </c>
      <c r="AA12" s="24">
        <v>2.3999999999999998E-3</v>
      </c>
      <c r="AB12" s="24">
        <v>0</v>
      </c>
      <c r="AC12" s="24">
        <v>1.1999999999999999E-3</v>
      </c>
      <c r="AD12" s="24">
        <v>1.15E-3</v>
      </c>
      <c r="AF12" s="48" t="s">
        <v>63</v>
      </c>
      <c r="AG12" s="36"/>
      <c r="AN12" s="50">
        <f ca="1"/>
        <v>0</v>
      </c>
      <c r="AO12" s="51" t="str">
        <f ca="1"/>
        <v>N.A.</v>
      </c>
      <c r="AP12" s="51" t="str">
        <f ca="1"/>
        <v>N.A.</v>
      </c>
      <c r="AQ12" s="51">
        <f ca="1"/>
        <v>0</v>
      </c>
      <c r="AR12" s="51">
        <f ca="1"/>
        <v>0</v>
      </c>
      <c r="AS12" s="51">
        <f ca="1"/>
        <v>1</v>
      </c>
      <c r="AT12" s="50">
        <f ca="1"/>
        <v>1</v>
      </c>
      <c r="AU12" s="2"/>
    </row>
    <row r="13" spans="2:47" x14ac:dyDescent="0.2">
      <c r="B13" s="6" t="s">
        <v>64</v>
      </c>
      <c r="C13" s="10">
        <f ca="1">G6</f>
        <v>40003</v>
      </c>
      <c r="E13" s="20"/>
      <c r="F13" s="21"/>
      <c r="G13" s="22"/>
      <c r="H13" s="22"/>
      <c r="N13" s="20" t="s">
        <v>65</v>
      </c>
      <c r="O13" s="21">
        <v>-3.3999999999999998E-3</v>
      </c>
      <c r="P13" s="22">
        <v>40003</v>
      </c>
      <c r="Q13" s="22">
        <v>42926</v>
      </c>
      <c r="S13" s="22"/>
      <c r="T13" s="21"/>
      <c r="U13" s="20"/>
      <c r="V13" s="22"/>
      <c r="X13" s="9" t="s">
        <v>48</v>
      </c>
      <c r="Y13" s="9"/>
      <c r="Z13" s="24">
        <v>2.1749999999999999E-3</v>
      </c>
      <c r="AA13" s="24">
        <v>2.1749999999999999E-3</v>
      </c>
      <c r="AB13" s="24">
        <v>0</v>
      </c>
      <c r="AC13" s="24">
        <v>1.0499999999999999E-3</v>
      </c>
      <c r="AD13" s="24">
        <v>1.1249999999999999E-3</v>
      </c>
      <c r="AN13" s="50">
        <f ca="1"/>
        <v>1</v>
      </c>
      <c r="AO13" s="51" t="str">
        <f ca="1"/>
        <v>Futures</v>
      </c>
      <c r="AP13" s="51" t="str">
        <f ca="1"/>
        <v>SEP09</v>
      </c>
      <c r="AQ13" s="51">
        <f ca="1"/>
        <v>0.43835616438356162</v>
      </c>
      <c r="AR13" s="51">
        <f ca="1"/>
        <v>4.2829371228771309E-3</v>
      </c>
      <c r="AS13" s="51">
        <f ca="1"/>
        <v>0</v>
      </c>
      <c r="AT13" s="50">
        <f ca="1"/>
        <v>0.99572622157228485</v>
      </c>
    </row>
    <row r="14" spans="2:47" x14ac:dyDescent="0.2">
      <c r="B14" s="6" t="s">
        <v>66</v>
      </c>
      <c r="C14" s="10">
        <f ca="1">C13</f>
        <v>40003</v>
      </c>
      <c r="E14" s="20"/>
      <c r="F14" s="21"/>
      <c r="G14" s="22"/>
      <c r="H14" s="22"/>
      <c r="N14" s="20" t="s">
        <v>67</v>
      </c>
      <c r="O14" s="21">
        <v>3.3500000000000001E-3</v>
      </c>
      <c r="P14" s="22">
        <v>40003</v>
      </c>
      <c r="Q14" s="22">
        <v>43290</v>
      </c>
      <c r="S14" s="22"/>
      <c r="T14" s="21"/>
      <c r="U14" s="20"/>
      <c r="V14" s="22"/>
      <c r="X14" s="9" t="s">
        <v>53</v>
      </c>
      <c r="Y14" s="9"/>
      <c r="Z14" s="24">
        <v>2E-3</v>
      </c>
      <c r="AA14" s="24">
        <v>2E-3</v>
      </c>
      <c r="AB14" s="24">
        <v>0</v>
      </c>
      <c r="AC14" s="24">
        <v>9.5E-4</v>
      </c>
      <c r="AD14" s="24">
        <v>1.1000000000000001E-3</v>
      </c>
      <c r="AF14" s="26" t="str">
        <f ca="1">AF6</f>
        <v>Solver Parameters</v>
      </c>
      <c r="AG14" s="26" t="str">
        <f ca="1">_xll.LTTbl_Create(AF14,AF15:AG16,"row")</f>
        <v>Solver Parameters::TBL[119]@10:49:18-20140424</v>
      </c>
      <c r="AN14" s="50">
        <f ca="1"/>
        <v>2</v>
      </c>
      <c r="AO14" s="51" t="str">
        <f ca="1"/>
        <v>Futures</v>
      </c>
      <c r="AP14" s="51" t="str">
        <f ca="1"/>
        <v>DEC09</v>
      </c>
      <c r="AQ14" s="51">
        <f ca="1"/>
        <v>0.68493150684931503</v>
      </c>
      <c r="AR14" s="51">
        <f ca="1"/>
        <v>7.1774885216199227E-3</v>
      </c>
      <c r="AS14" s="51">
        <f ca="1"/>
        <v>0</v>
      </c>
      <c r="AT14" s="50">
        <f ca="1"/>
        <v>0.99284820813321617</v>
      </c>
    </row>
    <row r="15" spans="2:47" x14ac:dyDescent="0.2">
      <c r="B15" s="6" t="s">
        <v>69</v>
      </c>
      <c r="C15" s="10">
        <f ca="1">C13</f>
        <v>40003</v>
      </c>
      <c r="E15" s="27"/>
      <c r="F15" s="27"/>
      <c r="G15" s="27"/>
      <c r="H15" s="27"/>
      <c r="N15" s="20" t="s">
        <v>70</v>
      </c>
      <c r="O15" s="21">
        <v>-3.3E-3</v>
      </c>
      <c r="P15" s="22">
        <v>40003</v>
      </c>
      <c r="Q15" s="22">
        <v>43655</v>
      </c>
      <c r="S15" s="22"/>
      <c r="T15" s="21"/>
      <c r="U15" s="20"/>
      <c r="V15" s="22"/>
      <c r="X15" s="9" t="s">
        <v>62</v>
      </c>
      <c r="Y15" s="9"/>
      <c r="Z15" s="24">
        <v>1.725E-3</v>
      </c>
      <c r="AA15" s="24">
        <v>1.725E-3</v>
      </c>
      <c r="AB15" s="24">
        <v>0</v>
      </c>
      <c r="AC15" s="24">
        <v>8.4999999999999995E-4</v>
      </c>
      <c r="AD15" s="24">
        <v>1E-3</v>
      </c>
      <c r="AF15" s="48" t="s">
        <v>71</v>
      </c>
      <c r="AG15" s="52">
        <v>1</v>
      </c>
      <c r="AH15" s="29"/>
      <c r="AN15" s="50">
        <f ca="1"/>
        <v>3</v>
      </c>
      <c r="AO15" s="51" t="str">
        <f ca="1"/>
        <v>Futures</v>
      </c>
      <c r="AP15" s="51" t="str">
        <f ca="1"/>
        <v>MAR10</v>
      </c>
      <c r="AQ15" s="51">
        <f ca="1"/>
        <v>0.9397260273972603</v>
      </c>
      <c r="AR15" s="51">
        <f ca="1"/>
        <v>1.0820960715759692E-2</v>
      </c>
      <c r="AS15" s="51">
        <f ca="1"/>
        <v>0</v>
      </c>
      <c r="AT15" s="50">
        <f ca="1"/>
        <v>0.98923737527289313</v>
      </c>
    </row>
    <row r="16" spans="2:47" x14ac:dyDescent="0.2">
      <c r="B16" s="6" t="s">
        <v>72</v>
      </c>
      <c r="C16" s="7" t="s">
        <v>73</v>
      </c>
      <c r="E16" s="27"/>
      <c r="F16" s="27"/>
      <c r="G16" s="27"/>
      <c r="H16" s="27"/>
      <c r="N16" s="20" t="s">
        <v>74</v>
      </c>
      <c r="O16" s="21">
        <v>-3.0999999999999999E-3</v>
      </c>
      <c r="P16" s="22">
        <v>40003</v>
      </c>
      <c r="Q16" s="22">
        <v>44386</v>
      </c>
      <c r="S16" s="22"/>
      <c r="T16" s="21"/>
      <c r="U16" s="20"/>
      <c r="V16" s="22"/>
      <c r="X16" s="9" t="s">
        <v>70</v>
      </c>
      <c r="Y16" s="9"/>
      <c r="Z16" s="24">
        <v>1.4250000000000001E-3</v>
      </c>
      <c r="AA16" s="24">
        <v>1.4250000000000001E-3</v>
      </c>
      <c r="AB16" s="24">
        <v>0</v>
      </c>
      <c r="AC16" s="24">
        <v>7.7499999999999997E-4</v>
      </c>
      <c r="AD16" s="24">
        <v>8.4999999999999995E-4</v>
      </c>
      <c r="AF16" s="48" t="s">
        <v>75</v>
      </c>
      <c r="AG16" s="52">
        <v>0</v>
      </c>
      <c r="AH16" s="29"/>
      <c r="AN16" s="50">
        <f ca="1"/>
        <v>4</v>
      </c>
      <c r="AO16" s="51" t="str">
        <f ca="1"/>
        <v>Futures</v>
      </c>
      <c r="AP16" s="51" t="str">
        <f ca="1"/>
        <v>JUN10</v>
      </c>
      <c r="AQ16" s="51">
        <f ca="1"/>
        <v>1.189041095890411</v>
      </c>
      <c r="AR16" s="51">
        <f ca="1"/>
        <v>1.5406521974270298E-2</v>
      </c>
      <c r="AS16" s="51">
        <f ca="1"/>
        <v>0</v>
      </c>
      <c r="AT16" s="50">
        <f ca="1"/>
        <v>0.98471155134132526</v>
      </c>
    </row>
    <row r="17" spans="2:46" x14ac:dyDescent="0.2">
      <c r="B17" s="6" t="s">
        <v>76</v>
      </c>
      <c r="C17" s="7" t="s">
        <v>77</v>
      </c>
      <c r="N17" s="20" t="s">
        <v>78</v>
      </c>
      <c r="O17" s="21">
        <v>-2.2499999999999998E-3</v>
      </c>
      <c r="P17" s="22">
        <v>40003</v>
      </c>
      <c r="Q17" s="22">
        <v>45482</v>
      </c>
      <c r="S17" s="22"/>
      <c r="T17" s="21"/>
      <c r="U17" s="20"/>
      <c r="V17" s="22"/>
      <c r="X17" s="9" t="s">
        <v>78</v>
      </c>
      <c r="Y17" s="9"/>
      <c r="Z17" s="24">
        <v>1.175E-3</v>
      </c>
      <c r="AA17" s="24">
        <v>1.175E-3</v>
      </c>
      <c r="AB17" s="24">
        <v>0</v>
      </c>
      <c r="AC17" s="24">
        <v>7.2499999999999995E-4</v>
      </c>
      <c r="AD17" s="24">
        <v>7.2499999999999995E-4</v>
      </c>
      <c r="AH17" s="29"/>
      <c r="AN17" s="50">
        <f ca="1"/>
        <v>5</v>
      </c>
      <c r="AO17" s="51" t="str">
        <f ca="1"/>
        <v>Futures</v>
      </c>
      <c r="AP17" s="51" t="str">
        <f ca="1"/>
        <v>SEP10</v>
      </c>
      <c r="AQ17" s="51">
        <f ca="1"/>
        <v>1.4356164383561645</v>
      </c>
      <c r="AR17" s="51">
        <f ca="1"/>
        <v>2.1037208992167072E-2</v>
      </c>
      <c r="AS17" s="51">
        <f ca="1"/>
        <v>0</v>
      </c>
      <c r="AT17" s="50">
        <f ca="1"/>
        <v>0.9791825294965375</v>
      </c>
    </row>
    <row r="18" spans="2:46" x14ac:dyDescent="0.2">
      <c r="B18" s="6" t="s">
        <v>79</v>
      </c>
      <c r="C18" s="7" t="s">
        <v>80</v>
      </c>
      <c r="E18" s="1" t="s">
        <v>38</v>
      </c>
      <c r="F18" s="1" t="str">
        <f ca="1">_xll.LTTbl_Create(E18,E19:I30)</f>
        <v>Futures::TBL[118]@10:49:18-20140424</v>
      </c>
      <c r="N18" s="20" t="s">
        <v>81</v>
      </c>
      <c r="O18" s="21">
        <v>-1.5E-3</v>
      </c>
      <c r="P18" s="22">
        <v>40003</v>
      </c>
      <c r="Q18" s="22">
        <v>47308</v>
      </c>
      <c r="S18" s="22"/>
      <c r="T18" s="21"/>
      <c r="U18" s="20"/>
      <c r="V18" s="22"/>
      <c r="X18" s="9" t="s">
        <v>81</v>
      </c>
      <c r="Y18" s="9"/>
      <c r="Z18" s="24">
        <v>1.0499999999999999E-3</v>
      </c>
      <c r="AA18" s="24">
        <v>1.0499999999999999E-3</v>
      </c>
      <c r="AB18" s="24">
        <v>0</v>
      </c>
      <c r="AC18" s="24">
        <v>6.9999999999999999E-4</v>
      </c>
      <c r="AD18" s="24">
        <v>6.4999999999999997E-4</v>
      </c>
      <c r="AF18" s="26" t="str">
        <f ca="1">AF9</f>
        <v xml:space="preserve">Cache Parameters </v>
      </c>
      <c r="AG18" s="26" t="str">
        <f ca="1">_xll.LTTbl_Create(AF18,AF19:AG24,"row")</f>
        <v>Cache Parameters::TBL[117]@10:49:18-20140424</v>
      </c>
      <c r="AH18" s="29"/>
      <c r="AN18" s="50">
        <f ca="1"/>
        <v>6</v>
      </c>
      <c r="AO18" s="51" t="str">
        <f ca="1"/>
        <v>Futures</v>
      </c>
      <c r="AP18" s="51" t="str">
        <f ca="1"/>
        <v>DEC10</v>
      </c>
      <c r="AQ18" s="51">
        <f ca="1"/>
        <v>1.6821917808219178</v>
      </c>
      <c r="AR18" s="51">
        <f ca="1"/>
        <v>2.7870648864562416E-2</v>
      </c>
      <c r="AS18" s="51">
        <f ca="1"/>
        <v>0</v>
      </c>
      <c r="AT18" s="50">
        <f ca="1"/>
        <v>0.97251415447579281</v>
      </c>
    </row>
    <row r="19" spans="2:46" x14ac:dyDescent="0.2">
      <c r="E19" s="15" t="s">
        <v>83</v>
      </c>
      <c r="F19" s="15" t="s">
        <v>84</v>
      </c>
      <c r="G19" s="15" t="s">
        <v>85</v>
      </c>
      <c r="H19" s="15" t="s">
        <v>23</v>
      </c>
      <c r="I19" s="15" t="s">
        <v>21</v>
      </c>
      <c r="N19" s="20" t="s">
        <v>86</v>
      </c>
      <c r="O19" s="21">
        <v>-1.2999999999999999E-3</v>
      </c>
      <c r="P19" s="22">
        <v>40003</v>
      </c>
      <c r="Q19" s="22">
        <v>49135</v>
      </c>
      <c r="S19" s="22"/>
      <c r="T19" s="21"/>
      <c r="U19" s="20"/>
      <c r="V19" s="22"/>
      <c r="X19" s="9" t="s">
        <v>87</v>
      </c>
      <c r="Y19" s="9"/>
      <c r="Z19" s="24">
        <v>9.2500000000000004E-4</v>
      </c>
      <c r="AA19" s="24">
        <v>9.2500000000000004E-4</v>
      </c>
      <c r="AB19" s="24">
        <v>0</v>
      </c>
      <c r="AC19" s="24">
        <v>6.9999999999999999E-4</v>
      </c>
      <c r="AD19" s="24">
        <v>5.9999999999999995E-4</v>
      </c>
      <c r="AF19" s="48" t="s">
        <v>88</v>
      </c>
      <c r="AG19" s="53">
        <v>1</v>
      </c>
      <c r="AH19" s="29"/>
      <c r="AN19" s="50">
        <f ca="1"/>
        <v>7</v>
      </c>
      <c r="AO19" s="51" t="str">
        <f ca="1"/>
        <v>Futures</v>
      </c>
      <c r="AP19" s="51" t="str">
        <f ca="1"/>
        <v>MAR11</v>
      </c>
      <c r="AQ19" s="51">
        <f ca="1"/>
        <v>1.9369863013698629</v>
      </c>
      <c r="AR19" s="51">
        <f ca="1"/>
        <v>3.5981451852911149E-2</v>
      </c>
      <c r="AS19" s="51">
        <f ca="1"/>
        <v>0</v>
      </c>
      <c r="AT19" s="50">
        <f ca="1"/>
        <v>0.96465818593910979</v>
      </c>
    </row>
    <row r="20" spans="2:46" x14ac:dyDescent="0.2">
      <c r="B20" s="1" t="s">
        <v>11</v>
      </c>
      <c r="C20" s="4" t="str">
        <f ca="1">_xll.LTTbl_Create(B20,B21:C30,"row")</f>
        <v>Curve Parameters::TBL[116]@10:49:18-20140424</v>
      </c>
      <c r="E20" s="20" t="s">
        <v>141</v>
      </c>
      <c r="F20" s="21">
        <v>0.99019999999999997</v>
      </c>
      <c r="G20" s="21">
        <v>1.7640000000000001E-5</v>
      </c>
      <c r="H20" s="22">
        <v>40072</v>
      </c>
      <c r="I20" s="22">
        <v>40163</v>
      </c>
      <c r="N20" s="20" t="s">
        <v>87</v>
      </c>
      <c r="O20" s="21">
        <v>-1.1000000000000001E-3</v>
      </c>
      <c r="P20" s="22">
        <v>40003</v>
      </c>
      <c r="Q20" s="22">
        <v>50962</v>
      </c>
      <c r="X20" s="9" t="s">
        <v>89</v>
      </c>
      <c r="Y20" s="9"/>
      <c r="Z20" s="24">
        <v>9.2500000000000004E-4</v>
      </c>
      <c r="AA20" s="24">
        <v>9.2500000000000004E-4</v>
      </c>
      <c r="AB20" s="24">
        <v>0</v>
      </c>
      <c r="AC20" s="24">
        <v>6.9999999999999999E-4</v>
      </c>
      <c r="AD20" s="24">
        <v>5.9999999999999995E-4</v>
      </c>
      <c r="AF20" s="48" t="s">
        <v>90</v>
      </c>
      <c r="AG20" s="53">
        <v>1</v>
      </c>
      <c r="AH20" s="29"/>
      <c r="AN20" s="50">
        <f ca="1"/>
        <v>8</v>
      </c>
      <c r="AO20" s="51" t="str">
        <f ca="1"/>
        <v>Futures</v>
      </c>
      <c r="AP20" s="51" t="str">
        <f ca="1"/>
        <v>JUN11</v>
      </c>
      <c r="AQ20" s="51">
        <f ca="1"/>
        <v>2.1863013698630138</v>
      </c>
      <c r="AR20" s="51">
        <f ca="1"/>
        <v>4.4954519432902774E-2</v>
      </c>
      <c r="AS20" s="51">
        <f ca="1"/>
        <v>0</v>
      </c>
      <c r="AT20" s="50">
        <f ca="1"/>
        <v>0.95604096212946399</v>
      </c>
    </row>
    <row r="21" spans="2:46" x14ac:dyDescent="0.2">
      <c r="B21" s="6" t="s">
        <v>91</v>
      </c>
      <c r="C21" s="7" t="str">
        <f ca="1">C17</f>
        <v>EUR</v>
      </c>
      <c r="E21" s="20" t="s">
        <v>142</v>
      </c>
      <c r="F21" s="21">
        <v>0.98819999999999997</v>
      </c>
      <c r="G21" s="21">
        <v>4.3980000000000002E-5</v>
      </c>
      <c r="H21" s="22">
        <v>40163</v>
      </c>
      <c r="I21" s="22">
        <v>40253</v>
      </c>
      <c r="N21" s="20" t="s">
        <v>89</v>
      </c>
      <c r="O21" s="21">
        <v>-1E-3</v>
      </c>
      <c r="P21" s="22">
        <v>40003</v>
      </c>
      <c r="Q21" s="22">
        <v>54613</v>
      </c>
      <c r="X21" s="9" t="s">
        <v>92</v>
      </c>
      <c r="Y21" s="9"/>
      <c r="Z21" s="24">
        <v>9.2500000000000004E-4</v>
      </c>
      <c r="AA21" s="24">
        <v>9.2500000000000004E-4</v>
      </c>
      <c r="AB21" s="24">
        <v>0</v>
      </c>
      <c r="AC21" s="24">
        <v>6.9999999999999999E-4</v>
      </c>
      <c r="AD21" s="24">
        <v>5.9999999999999995E-4</v>
      </c>
      <c r="AF21" s="48" t="s">
        <v>93</v>
      </c>
      <c r="AG21" s="53">
        <v>1</v>
      </c>
      <c r="AH21" s="29"/>
      <c r="AN21" s="50">
        <f ca="1"/>
        <v>9</v>
      </c>
      <c r="AO21" s="51" t="str">
        <f ca="1"/>
        <v>Swaps</v>
      </c>
      <c r="AP21" s="51" t="str">
        <f ca="1"/>
        <v>30M</v>
      </c>
      <c r="AQ21" s="51">
        <f ca="1"/>
        <v>2.504109589041096</v>
      </c>
      <c r="AR21" s="51">
        <f ca="1"/>
        <v>9.1099493163862497E-2</v>
      </c>
      <c r="AS21" s="51">
        <f ca="1"/>
        <v>0</v>
      </c>
      <c r="AT21" s="50">
        <f ca="1"/>
        <v>0.91292687639732684</v>
      </c>
    </row>
    <row r="22" spans="2:46" x14ac:dyDescent="0.2">
      <c r="B22" s="6" t="s">
        <v>94</v>
      </c>
      <c r="C22" s="7" t="str">
        <f ca="1">C18</f>
        <v>EURIB</v>
      </c>
      <c r="E22" s="20" t="s">
        <v>143</v>
      </c>
      <c r="F22" s="21">
        <v>0.98560000000000003</v>
      </c>
      <c r="G22" s="21">
        <v>7.4549999999999996E-5</v>
      </c>
      <c r="H22" s="22">
        <v>40254</v>
      </c>
      <c r="I22" s="22">
        <v>40346</v>
      </c>
      <c r="N22" s="20"/>
      <c r="O22" s="21"/>
      <c r="P22" s="22"/>
      <c r="Q22" s="22"/>
      <c r="X22" s="9" t="s">
        <v>95</v>
      </c>
      <c r="Y22" s="9"/>
      <c r="Z22" s="24">
        <v>9.2500000000000004E-4</v>
      </c>
      <c r="AA22" s="24">
        <v>9.2500000000000004E-4</v>
      </c>
      <c r="AB22" s="24">
        <v>0</v>
      </c>
      <c r="AC22" s="24">
        <v>6.9999999999999999E-4</v>
      </c>
      <c r="AD22" s="24">
        <v>5.9999999999999995E-4</v>
      </c>
      <c r="AF22" s="48" t="s">
        <v>96</v>
      </c>
      <c r="AG22" s="53">
        <v>1</v>
      </c>
      <c r="AH22" s="29"/>
      <c r="AN22" s="50">
        <f ca="1"/>
        <v>10</v>
      </c>
      <c r="AO22" s="51" t="str">
        <f ca="1"/>
        <v>Swaps</v>
      </c>
      <c r="AP22" s="51" t="str">
        <f ca="1"/>
        <v>3Y</v>
      </c>
      <c r="AQ22" s="51">
        <f ca="1"/>
        <v>3.0027397260273974</v>
      </c>
      <c r="AR22" s="51">
        <f ca="1"/>
        <v>0.10147774375622039</v>
      </c>
      <c r="AS22" s="51">
        <f ca="1"/>
        <v>0</v>
      </c>
      <c r="AT22" s="50">
        <f ca="1"/>
        <v>0.90350128766336546</v>
      </c>
    </row>
    <row r="23" spans="2:46" x14ac:dyDescent="0.2">
      <c r="B23" s="6" t="s">
        <v>97</v>
      </c>
      <c r="C23" s="32">
        <v>0</v>
      </c>
      <c r="E23" s="20" t="s">
        <v>144</v>
      </c>
      <c r="F23" s="21">
        <v>0.98150000000000004</v>
      </c>
      <c r="G23" s="21">
        <v>1.0936E-4</v>
      </c>
      <c r="H23" s="22">
        <v>40345</v>
      </c>
      <c r="I23" s="22">
        <v>40437</v>
      </c>
      <c r="M23" s="33"/>
      <c r="N23" s="20"/>
      <c r="O23" s="21"/>
      <c r="P23" s="22"/>
      <c r="Q23" s="22"/>
      <c r="X23" s="9"/>
      <c r="Y23" s="9"/>
      <c r="Z23" s="24"/>
      <c r="AA23" s="24"/>
      <c r="AB23" s="24"/>
      <c r="AC23" s="24"/>
      <c r="AD23" s="24"/>
      <c r="AF23" s="48" t="s">
        <v>98</v>
      </c>
      <c r="AG23" s="53">
        <v>1</v>
      </c>
      <c r="AH23" s="29"/>
      <c r="AN23" s="50">
        <f ca="1"/>
        <v>11</v>
      </c>
      <c r="AO23" s="51" t="str">
        <f ca="1"/>
        <v>Swaps</v>
      </c>
      <c r="AP23" s="51" t="str">
        <f ca="1"/>
        <v>4Y</v>
      </c>
      <c r="AQ23" s="51">
        <f ca="1"/>
        <v>4.0027397260273974</v>
      </c>
      <c r="AR23" s="51">
        <f ca="1"/>
        <v>0.15518190480879795</v>
      </c>
      <c r="AS23" s="51">
        <f ca="1"/>
        <v>0</v>
      </c>
      <c r="AT23" s="50">
        <f ca="1"/>
        <v>0.85625940561275748</v>
      </c>
    </row>
    <row r="24" spans="2:46" x14ac:dyDescent="0.2">
      <c r="B24" s="6" t="s">
        <v>99</v>
      </c>
      <c r="C24" s="10" t="s">
        <v>100</v>
      </c>
      <c r="E24" s="20" t="s">
        <v>145</v>
      </c>
      <c r="F24" s="21">
        <v>0.97699999999999998</v>
      </c>
      <c r="G24" s="21">
        <v>1.4841E-4</v>
      </c>
      <c r="H24" s="22">
        <v>40436</v>
      </c>
      <c r="I24" s="22">
        <v>40527</v>
      </c>
      <c r="M24" s="33"/>
      <c r="X24" s="9"/>
      <c r="Y24" s="9"/>
      <c r="Z24" s="24"/>
      <c r="AA24" s="24"/>
      <c r="AB24" s="24"/>
      <c r="AC24" s="24"/>
      <c r="AD24" s="24"/>
      <c r="AF24" s="48" t="s">
        <v>101</v>
      </c>
      <c r="AG24" s="53">
        <v>1</v>
      </c>
      <c r="AH24" s="29"/>
      <c r="AN24" s="50">
        <f ca="1"/>
        <v>12</v>
      </c>
      <c r="AO24" s="51" t="str">
        <f ca="1"/>
        <v>Swaps</v>
      </c>
      <c r="AP24" s="51" t="str">
        <f ca="1"/>
        <v>5Y</v>
      </c>
      <c r="AQ24" s="51">
        <f ca="1"/>
        <v>5.0027397260273974</v>
      </c>
      <c r="AR24" s="51">
        <f ca="1"/>
        <v>0.2024674614525068</v>
      </c>
      <c r="AS24" s="51">
        <f ca="1"/>
        <v>0</v>
      </c>
      <c r="AT24" s="50">
        <f ca="1"/>
        <v>0.81671305682235285</v>
      </c>
    </row>
    <row r="25" spans="2:46" x14ac:dyDescent="0.2">
      <c r="B25" s="6" t="s">
        <v>102</v>
      </c>
      <c r="C25" s="10"/>
      <c r="E25" s="20" t="s">
        <v>146</v>
      </c>
      <c r="F25" s="21">
        <v>0.97199999999999998</v>
      </c>
      <c r="G25" s="21">
        <v>1.917E-4</v>
      </c>
      <c r="H25" s="22">
        <v>40527</v>
      </c>
      <c r="I25" s="22">
        <v>40617</v>
      </c>
      <c r="M25" s="33"/>
      <c r="AH25" s="29"/>
      <c r="AN25" s="50">
        <f ca="1"/>
        <v>13</v>
      </c>
      <c r="AO25" s="51" t="str">
        <f ca="1"/>
        <v>Swaps</v>
      </c>
      <c r="AP25" s="51" t="str">
        <f ca="1"/>
        <v>7Y</v>
      </c>
      <c r="AQ25" s="51">
        <f ca="1"/>
        <v>7.0054794520547947</v>
      </c>
      <c r="AR25" s="51">
        <f ca="1"/>
        <v>0.30550314192634753</v>
      </c>
      <c r="AS25" s="51">
        <f ca="1"/>
        <v>0</v>
      </c>
      <c r="AT25" s="50">
        <f ca="1"/>
        <v>0.73675259000348825</v>
      </c>
    </row>
    <row r="26" spans="2:46" x14ac:dyDescent="0.2">
      <c r="B26" s="6" t="s">
        <v>103</v>
      </c>
      <c r="C26" s="10" t="s">
        <v>44</v>
      </c>
      <c r="E26" s="20" t="s">
        <v>147</v>
      </c>
      <c r="F26" s="21">
        <v>0.96779999999999999</v>
      </c>
      <c r="G26" s="21">
        <v>2.3923E-4</v>
      </c>
      <c r="H26" s="22">
        <v>40618</v>
      </c>
      <c r="I26" s="22">
        <v>40710</v>
      </c>
      <c r="M26" s="33"/>
      <c r="X26" s="34" t="s">
        <v>104</v>
      </c>
      <c r="Y26" s="1" t="str">
        <f ca="1">_xll.LTTbl_Create(X26,X27:Y29,"row")</f>
        <v>TenorBasis::TBL[130]@10:49:18-20140424</v>
      </c>
      <c r="AG26" s="35" t="s">
        <v>105</v>
      </c>
      <c r="AH26" s="35" t="str">
        <f ca="1">_xll.LTTbl_Create(AG26,AG27:AL28)</f>
        <v>Curve Interpolation::TBL[115]@10:49:18-20140424</v>
      </c>
      <c r="AI26" s="35"/>
      <c r="AJ26" s="35"/>
      <c r="AK26" s="35"/>
      <c r="AL26" s="35"/>
      <c r="AN26" s="50">
        <f ca="1"/>
        <v>14</v>
      </c>
      <c r="AO26" s="51" t="str">
        <f ca="1"/>
        <v>Swaps</v>
      </c>
      <c r="AP26" s="51" t="str">
        <f ca="1"/>
        <v>10Y</v>
      </c>
      <c r="AQ26" s="51">
        <f ca="1"/>
        <v>10.005479452054795</v>
      </c>
      <c r="AR26" s="51">
        <f ca="1"/>
        <v>0.46333279848126085</v>
      </c>
      <c r="AS26" s="51">
        <f ca="1"/>
        <v>0</v>
      </c>
      <c r="AT26" s="50">
        <f ca="1"/>
        <v>0.62918320644621795</v>
      </c>
    </row>
    <row r="27" spans="2:46" x14ac:dyDescent="0.2">
      <c r="B27" s="6" t="s">
        <v>106</v>
      </c>
      <c r="C27" s="10" t="s">
        <v>107</v>
      </c>
      <c r="E27" s="20" t="s">
        <v>148</v>
      </c>
      <c r="F27" s="21">
        <v>0.96360000000000001</v>
      </c>
      <c r="G27" s="21">
        <v>2.9098999999999998E-4</v>
      </c>
      <c r="H27" s="22">
        <v>40709</v>
      </c>
      <c r="I27" s="22">
        <v>40801</v>
      </c>
      <c r="M27" s="33"/>
      <c r="X27" s="6" t="str">
        <f ca="1">X5</f>
        <v>Maturity</v>
      </c>
      <c r="Y27" s="36" t="str">
        <f ca="1">X4</f>
        <v>Maturity::TBL[125]@10:49:18-20140424</v>
      </c>
      <c r="AF27" s="47"/>
      <c r="AG27" s="47" t="s">
        <v>108</v>
      </c>
      <c r="AH27" s="47" t="s">
        <v>82</v>
      </c>
      <c r="AI27" s="47" t="s">
        <v>35</v>
      </c>
      <c r="AJ27" s="47" t="s">
        <v>31</v>
      </c>
      <c r="AK27" s="47" t="s">
        <v>44</v>
      </c>
      <c r="AL27" s="47" t="s">
        <v>34</v>
      </c>
      <c r="AN27" s="50">
        <f ca="1"/>
        <v>15</v>
      </c>
      <c r="AO27" s="51" t="str">
        <f ca="1"/>
        <v>Swaps</v>
      </c>
      <c r="AP27" s="51" t="str">
        <f ca="1"/>
        <v>12Y</v>
      </c>
      <c r="AQ27" s="51">
        <f ca="1"/>
        <v>12.008219178082191</v>
      </c>
      <c r="AR27" s="51">
        <f ca="1"/>
        <v>0.57718187635183626</v>
      </c>
      <c r="AS27" s="51">
        <f ca="1"/>
        <v>0</v>
      </c>
      <c r="AT27" s="50">
        <f ca="1"/>
        <v>0.56147845478905156</v>
      </c>
    </row>
    <row r="28" spans="2:46" x14ac:dyDescent="0.2">
      <c r="B28" s="6" t="s">
        <v>109</v>
      </c>
      <c r="C28" s="10" t="s">
        <v>100</v>
      </c>
      <c r="E28" s="27"/>
      <c r="F28" s="27"/>
      <c r="G28" s="27"/>
      <c r="H28" s="27"/>
      <c r="I28" s="27"/>
      <c r="M28" s="33"/>
      <c r="X28" s="6" t="str">
        <f ca="1">Y5</f>
        <v>Tenor</v>
      </c>
      <c r="Y28" s="36" t="str">
        <f ca="1">Y4</f>
        <v>Tenor::TBL[124]@10:49:18-20140424</v>
      </c>
      <c r="AF28" s="9"/>
      <c r="AG28" s="27" t="str">
        <f ca="1">_xll.LTTbl_Create(AG27,AG29:AJ30)</f>
        <v>Discount::TBL[114]@10:49:18-20140424</v>
      </c>
      <c r="AH28" s="27" t="str">
        <f ca="1">_xll.LTTbl_Create(AH27,AG31:AJ32)</f>
        <v>ON::TBL[113]@10:49:18-20140424</v>
      </c>
      <c r="AI28" s="27" t="str">
        <f ca="1">_xll.LTTbl_Create(AI27,AG33:AJ34)</f>
        <v>1M::TBL[112]@10:49:18-20140424</v>
      </c>
      <c r="AJ28" s="27" t="str">
        <f ca="1">_xll.LTTbl_Create(AJ27,AG35:AJ36)</f>
        <v>3M::TBL[111]@10:49:18-20140424</v>
      </c>
      <c r="AK28" s="27" t="str">
        <f ca="1">_xll.LTTbl_Create(AK27,AG37:AJ38)</f>
        <v>6M::TBL[110]@10:49:18-20140424</v>
      </c>
      <c r="AL28" s="27" t="str">
        <f ca="1">_xll.LTTbl_Create(AL27,AG39:AJ40)</f>
        <v>1Y::TBL[109]@10:49:18-20140424</v>
      </c>
      <c r="AM28" s="46" t="s">
        <v>136</v>
      </c>
    </row>
    <row r="29" spans="2:46" x14ac:dyDescent="0.2">
      <c r="B29" s="6" t="s">
        <v>110</v>
      </c>
      <c r="C29" s="10" t="s">
        <v>31</v>
      </c>
      <c r="E29" s="27"/>
      <c r="F29" s="27"/>
      <c r="G29" s="27"/>
      <c r="H29" s="27"/>
      <c r="I29" s="27"/>
      <c r="M29" s="33"/>
      <c r="X29" s="6" t="str">
        <f ca="1">Z5</f>
        <v>Values</v>
      </c>
      <c r="Y29" s="36" t="str">
        <f ca="1">Z4</f>
        <v>Values::TBL[123]@10:49:18-20140424</v>
      </c>
      <c r="AF29" s="9" t="str">
        <f ca="1">AG27</f>
        <v>Discount</v>
      </c>
      <c r="AG29" s="27" t="s">
        <v>111</v>
      </c>
      <c r="AH29" s="27" t="s">
        <v>112</v>
      </c>
      <c r="AI29" s="27" t="s">
        <v>113</v>
      </c>
      <c r="AJ29" s="27" t="s">
        <v>114</v>
      </c>
      <c r="AK29" s="27" t="s">
        <v>111</v>
      </c>
      <c r="AL29" s="27" t="s">
        <v>115</v>
      </c>
    </row>
    <row r="30" spans="2:46" x14ac:dyDescent="0.2">
      <c r="B30" s="6" t="s">
        <v>116</v>
      </c>
      <c r="C30" s="10" t="s">
        <v>136</v>
      </c>
      <c r="E30" s="27"/>
      <c r="F30" s="27"/>
      <c r="G30" s="27"/>
      <c r="H30" s="27"/>
      <c r="I30" s="27"/>
      <c r="M30" s="33"/>
      <c r="AF30" s="9"/>
      <c r="AG30" s="27" t="s">
        <v>117</v>
      </c>
      <c r="AH30" s="27" t="s">
        <v>118</v>
      </c>
      <c r="AI30" s="27" t="s">
        <v>119</v>
      </c>
      <c r="AJ30" s="27" t="str">
        <f ca="1">_xll.LTTbl_Create(,AK29:AL30)</f>
        <v>::TBL[108]@10:49:18-20140424</v>
      </c>
      <c r="AK30" s="27" t="s">
        <v>120</v>
      </c>
      <c r="AL30" s="27" t="s">
        <v>119</v>
      </c>
    </row>
    <row r="31" spans="2:46" x14ac:dyDescent="0.2">
      <c r="M31" s="33"/>
      <c r="AF31" s="9" t="str">
        <f ca="1">AH27</f>
        <v>ON</v>
      </c>
      <c r="AG31" s="27" t="s">
        <v>111</v>
      </c>
      <c r="AH31" s="27" t="s">
        <v>112</v>
      </c>
      <c r="AI31" s="27" t="s">
        <v>113</v>
      </c>
      <c r="AJ31" s="27" t="s">
        <v>114</v>
      </c>
      <c r="AK31" s="27" t="s">
        <v>111</v>
      </c>
      <c r="AL31" s="27" t="s">
        <v>115</v>
      </c>
    </row>
    <row r="32" spans="2:46" x14ac:dyDescent="0.2">
      <c r="B32" s="1" t="str">
        <f ca="1">B5</f>
        <v>Instrument List</v>
      </c>
      <c r="C32" s="37" t="str">
        <f ca="1">_xll.LTTbl_Create(B32,B33:C35,"row")</f>
        <v>Instrument List::TBL[129]@10:49:18-20140424</v>
      </c>
      <c r="E32" s="1" t="s">
        <v>121</v>
      </c>
      <c r="F32" s="1" t="str">
        <f ca="1">_xll.LTTbl_Create(E32,E33:L51)</f>
        <v>Swap::TBL[107]@10:49:18-20140424</v>
      </c>
      <c r="M32" s="33"/>
      <c r="N32" s="9"/>
      <c r="O32" s="9" t="s">
        <v>9</v>
      </c>
      <c r="P32" s="9" t="s">
        <v>10</v>
      </c>
      <c r="AF32" s="9"/>
      <c r="AG32" s="27" t="s">
        <v>117</v>
      </c>
      <c r="AH32" s="27" t="s">
        <v>118</v>
      </c>
      <c r="AI32" s="27" t="s">
        <v>119</v>
      </c>
      <c r="AJ32" s="27" t="str">
        <f ca="1">_xll.LTTbl_Create(,AK31:AL32)</f>
        <v>::TBL[106]@10:49:18-20140424</v>
      </c>
      <c r="AK32" s="27" t="s">
        <v>120</v>
      </c>
      <c r="AL32" s="27" t="s">
        <v>119</v>
      </c>
    </row>
    <row r="33" spans="2:38" x14ac:dyDescent="0.2">
      <c r="B33" s="6" t="s">
        <v>12</v>
      </c>
      <c r="C33" s="7" t="str">
        <f ca="1">F4</f>
        <v>Cash::TBL[128]@10:49:18-20140424</v>
      </c>
      <c r="E33" s="15" t="s">
        <v>18</v>
      </c>
      <c r="F33" s="15" t="s">
        <v>19</v>
      </c>
      <c r="G33" s="15" t="s">
        <v>22</v>
      </c>
      <c r="H33" s="15" t="s">
        <v>23</v>
      </c>
      <c r="I33" s="15" t="s">
        <v>21</v>
      </c>
      <c r="J33" s="15" t="s">
        <v>122</v>
      </c>
      <c r="K33" s="15" t="s">
        <v>123</v>
      </c>
      <c r="L33" s="15" t="s">
        <v>124</v>
      </c>
      <c r="M33" s="33"/>
      <c r="N33" s="9" t="str">
        <f ca="1">E6</f>
        <v>1W</v>
      </c>
      <c r="O33" s="9">
        <f ca="1">1/52</f>
        <v>1.9230769230769232E-2</v>
      </c>
      <c r="P33" s="25">
        <f ca="1">F6</f>
        <v>4.1120000000000002E-3</v>
      </c>
      <c r="AF33" s="9" t="str">
        <f ca="1">AI27</f>
        <v>1M</v>
      </c>
      <c r="AG33" s="27" t="s">
        <v>111</v>
      </c>
      <c r="AH33" s="27" t="s">
        <v>112</v>
      </c>
      <c r="AI33" s="27" t="s">
        <v>113</v>
      </c>
      <c r="AJ33" s="27" t="s">
        <v>114</v>
      </c>
      <c r="AK33" s="27" t="s">
        <v>111</v>
      </c>
      <c r="AL33" s="27" t="s">
        <v>115</v>
      </c>
    </row>
    <row r="34" spans="2:38" x14ac:dyDescent="0.2">
      <c r="B34" s="6" t="s">
        <v>68</v>
      </c>
      <c r="C34" s="10" t="str">
        <f ca="1">F32</f>
        <v>Swap::TBL[107]@10:49:18-20140424</v>
      </c>
      <c r="E34" s="20" t="s">
        <v>44</v>
      </c>
      <c r="F34" s="21">
        <v>2.75E-2</v>
      </c>
      <c r="G34" s="21">
        <v>0</v>
      </c>
      <c r="H34" s="22">
        <v>40003</v>
      </c>
      <c r="I34" s="22">
        <f ca="1">_xll.QLDtBasic_addDuration("Default",H34,E34)</f>
        <v>40187</v>
      </c>
      <c r="J34" s="21" t="s">
        <v>44</v>
      </c>
      <c r="K34" s="20" t="s">
        <v>44</v>
      </c>
      <c r="L34" s="22" t="s">
        <v>126</v>
      </c>
      <c r="M34" s="33"/>
      <c r="N34" s="9" t="str">
        <f t="shared" ref="N34:N47" ca="1" si="0">E34</f>
        <v>6M</v>
      </c>
      <c r="O34" s="9"/>
      <c r="P34" s="25">
        <f t="shared" ref="P34:P47" ca="1" si="1">F34</f>
        <v>2.75E-2</v>
      </c>
      <c r="AF34" s="9"/>
      <c r="AG34" s="27" t="s">
        <v>117</v>
      </c>
      <c r="AH34" s="27" t="s">
        <v>118</v>
      </c>
      <c r="AI34" s="27" t="s">
        <v>119</v>
      </c>
      <c r="AJ34" s="27" t="str">
        <f ca="1">_xll.LTTbl_Create(,AK33:AL34)</f>
        <v>::TBL[105]@10:49:18-20140424</v>
      </c>
      <c r="AK34" s="27" t="s">
        <v>120</v>
      </c>
      <c r="AL34" s="27" t="s">
        <v>119</v>
      </c>
    </row>
    <row r="35" spans="2:38" x14ac:dyDescent="0.2">
      <c r="B35" s="6" t="s">
        <v>38</v>
      </c>
      <c r="C35" s="10" t="str">
        <f ca="1">F18</f>
        <v>Futures::TBL[118]@10:49:18-20140424</v>
      </c>
      <c r="E35" s="20" t="s">
        <v>34</v>
      </c>
      <c r="F35" s="21">
        <v>3.1E-2</v>
      </c>
      <c r="G35" s="21">
        <v>0</v>
      </c>
      <c r="H35" s="22">
        <v>40003</v>
      </c>
      <c r="I35" s="22">
        <f ca="1">_xll.QLDtBasic_addDuration("Default",H35,E35)</f>
        <v>40368</v>
      </c>
      <c r="J35" s="21" t="s">
        <v>44</v>
      </c>
      <c r="K35" s="20" t="s">
        <v>44</v>
      </c>
      <c r="L35" s="22" t="s">
        <v>126</v>
      </c>
      <c r="M35" s="33"/>
      <c r="N35" s="9" t="str">
        <f t="shared" ca="1" si="0"/>
        <v>1Y</v>
      </c>
      <c r="O35" s="9"/>
      <c r="P35" s="25">
        <f t="shared" ca="1" si="1"/>
        <v>3.1E-2</v>
      </c>
      <c r="AF35" s="9" t="str">
        <f ca="1">AJ27</f>
        <v>3M</v>
      </c>
      <c r="AG35" s="27" t="s">
        <v>111</v>
      </c>
      <c r="AH35" s="27" t="s">
        <v>112</v>
      </c>
      <c r="AI35" s="27" t="s">
        <v>113</v>
      </c>
      <c r="AJ35" s="27" t="s">
        <v>114</v>
      </c>
      <c r="AK35" s="27" t="s">
        <v>111</v>
      </c>
      <c r="AL35" s="27" t="s">
        <v>115</v>
      </c>
    </row>
    <row r="36" spans="2:38" x14ac:dyDescent="0.2">
      <c r="B36" s="6" t="s">
        <v>14</v>
      </c>
      <c r="C36" s="10"/>
      <c r="E36" s="20" t="s">
        <v>150</v>
      </c>
      <c r="F36" s="21">
        <v>3.3000000000000002E-2</v>
      </c>
      <c r="G36" s="21">
        <v>0</v>
      </c>
      <c r="H36" s="22">
        <v>40003</v>
      </c>
      <c r="I36" s="22">
        <f ca="1">_xll.QLDtBasic_addDuration("Default",H36,E36)</f>
        <v>40552</v>
      </c>
      <c r="J36" s="21" t="s">
        <v>44</v>
      </c>
      <c r="K36" s="20" t="s">
        <v>44</v>
      </c>
      <c r="L36" s="22" t="s">
        <v>126</v>
      </c>
      <c r="M36" s="33"/>
      <c r="N36" s="9" t="str">
        <f t="shared" ca="1" si="0"/>
        <v>18M</v>
      </c>
      <c r="O36" s="9"/>
      <c r="P36" s="25">
        <f t="shared" ca="1" si="1"/>
        <v>3.3000000000000002E-2</v>
      </c>
      <c r="AF36" s="9"/>
      <c r="AG36" s="27" t="s">
        <v>117</v>
      </c>
      <c r="AH36" s="27" t="s">
        <v>118</v>
      </c>
      <c r="AI36" s="27" t="s">
        <v>119</v>
      </c>
      <c r="AJ36" s="27" t="str">
        <f ca="1">_xll.LTTbl_Create(,AK35:AL36)</f>
        <v>::TBL[104]@10:49:18-20140424</v>
      </c>
      <c r="AK36" s="27" t="s">
        <v>120</v>
      </c>
      <c r="AL36" s="27" t="s">
        <v>119</v>
      </c>
    </row>
    <row r="37" spans="2:38" x14ac:dyDescent="0.2">
      <c r="B37" s="6" t="s">
        <v>125</v>
      </c>
      <c r="C37" s="10"/>
      <c r="E37" s="20" t="s">
        <v>40</v>
      </c>
      <c r="F37" s="21">
        <v>3.4300000000000004E-2</v>
      </c>
      <c r="G37" s="21">
        <v>0</v>
      </c>
      <c r="H37" s="22">
        <v>40003</v>
      </c>
      <c r="I37" s="22">
        <f ca="1">_xll.QLDtBasic_addDuration("Default",H37,E37)</f>
        <v>40733</v>
      </c>
      <c r="J37" s="21" t="s">
        <v>44</v>
      </c>
      <c r="K37" s="20" t="s">
        <v>44</v>
      </c>
      <c r="L37" s="22" t="s">
        <v>126</v>
      </c>
      <c r="M37" s="33"/>
      <c r="N37" s="9" t="str">
        <f t="shared" ca="1" si="0"/>
        <v>2Y</v>
      </c>
      <c r="O37" s="9"/>
      <c r="P37" s="25">
        <f t="shared" ca="1" si="1"/>
        <v>3.4300000000000004E-2</v>
      </c>
      <c r="AF37" s="9" t="str">
        <f ca="1">AK27</f>
        <v>6M</v>
      </c>
      <c r="AG37" s="27" t="s">
        <v>111</v>
      </c>
      <c r="AH37" s="27" t="s">
        <v>112</v>
      </c>
      <c r="AI37" s="27" t="s">
        <v>113</v>
      </c>
      <c r="AJ37" s="27" t="s">
        <v>114</v>
      </c>
      <c r="AK37" s="27" t="s">
        <v>111</v>
      </c>
      <c r="AL37" s="27" t="s">
        <v>115</v>
      </c>
    </row>
    <row r="38" spans="2:38" x14ac:dyDescent="0.2">
      <c r="B38" s="6" t="s">
        <v>128</v>
      </c>
      <c r="C38" s="10"/>
      <c r="E38" s="20" t="s">
        <v>149</v>
      </c>
      <c r="F38" s="21">
        <v>3.5299999999999998E-2</v>
      </c>
      <c r="G38" s="21">
        <v>0</v>
      </c>
      <c r="H38" s="22">
        <v>40003</v>
      </c>
      <c r="I38" s="22">
        <f ca="1">_xll.QLDtBasic_addDuration("Default",H38,E38)</f>
        <v>40917</v>
      </c>
      <c r="J38" s="21" t="s">
        <v>44</v>
      </c>
      <c r="K38" s="20" t="s">
        <v>44</v>
      </c>
      <c r="L38" s="22" t="s">
        <v>126</v>
      </c>
      <c r="M38" s="33"/>
      <c r="N38" s="9" t="str">
        <f t="shared" ca="1" si="0"/>
        <v>30M</v>
      </c>
      <c r="O38" s="9"/>
      <c r="P38" s="25">
        <f t="shared" ca="1" si="1"/>
        <v>3.5299999999999998E-2</v>
      </c>
      <c r="AF38" s="9"/>
      <c r="AG38" s="27" t="s">
        <v>117</v>
      </c>
      <c r="AH38" s="27" t="s">
        <v>118</v>
      </c>
      <c r="AI38" s="27" t="s">
        <v>119</v>
      </c>
      <c r="AJ38" s="27" t="str">
        <f ca="1">_xll.LTTbl_Create(,AK37:AL38)</f>
        <v>::TBL[103]@10:49:18-20140424</v>
      </c>
      <c r="AK38" s="27" t="s">
        <v>120</v>
      </c>
      <c r="AL38" s="27" t="s">
        <v>119</v>
      </c>
    </row>
    <row r="39" spans="2:38" x14ac:dyDescent="0.2">
      <c r="E39" s="20" t="s">
        <v>43</v>
      </c>
      <c r="F39" s="21">
        <v>3.3000000000000002E-2</v>
      </c>
      <c r="G39" s="21">
        <v>0</v>
      </c>
      <c r="H39" s="22">
        <v>40003</v>
      </c>
      <c r="I39" s="22">
        <f ca="1">_xll.QLDtBasic_addDuration("Default",H39,E39)</f>
        <v>41099</v>
      </c>
      <c r="J39" s="21" t="s">
        <v>44</v>
      </c>
      <c r="K39" s="20" t="s">
        <v>44</v>
      </c>
      <c r="L39" s="22" t="s">
        <v>126</v>
      </c>
      <c r="M39" s="33"/>
      <c r="N39" s="9" t="str">
        <f t="shared" ca="1" si="0"/>
        <v>3Y</v>
      </c>
      <c r="O39" s="9"/>
      <c r="P39" s="25">
        <f t="shared" ca="1" si="1"/>
        <v>3.3000000000000002E-2</v>
      </c>
      <c r="AF39" s="9" t="str">
        <f ca="1">AL27</f>
        <v>1Y</v>
      </c>
      <c r="AG39" s="27" t="s">
        <v>111</v>
      </c>
      <c r="AH39" s="27" t="s">
        <v>112</v>
      </c>
      <c r="AI39" s="27" t="s">
        <v>113</v>
      </c>
      <c r="AJ39" s="27" t="s">
        <v>114</v>
      </c>
      <c r="AK39" s="27" t="s">
        <v>111</v>
      </c>
      <c r="AL39" s="27" t="s">
        <v>115</v>
      </c>
    </row>
    <row r="40" spans="2:38" x14ac:dyDescent="0.2">
      <c r="B40" s="1" t="s">
        <v>129</v>
      </c>
      <c r="C40" s="37" t="str">
        <f ca="1">_xll.LTTbl_Create(B40,B41:C42)</f>
        <v>Default Model Params::TBL[132]@10:49:18-20140424</v>
      </c>
      <c r="E40" s="20" t="s">
        <v>48</v>
      </c>
      <c r="F40" s="21">
        <v>3.78E-2</v>
      </c>
      <c r="G40" s="21">
        <v>0</v>
      </c>
      <c r="H40" s="22">
        <v>40003</v>
      </c>
      <c r="I40" s="22">
        <f ca="1">_xll.QLDtBasic_addDuration("Default",H40,E40)</f>
        <v>41464</v>
      </c>
      <c r="J40" s="21" t="s">
        <v>44</v>
      </c>
      <c r="K40" s="20" t="s">
        <v>44</v>
      </c>
      <c r="L40" s="22" t="s">
        <v>126</v>
      </c>
      <c r="M40" s="33"/>
      <c r="N40" s="9" t="str">
        <f t="shared" ca="1" si="0"/>
        <v>4Y</v>
      </c>
      <c r="O40" s="9"/>
      <c r="P40" s="25">
        <f t="shared" ca="1" si="1"/>
        <v>3.78E-2</v>
      </c>
      <c r="AF40" s="9"/>
      <c r="AG40" s="27" t="s">
        <v>117</v>
      </c>
      <c r="AH40" s="27" t="s">
        <v>118</v>
      </c>
      <c r="AI40" s="27" t="s">
        <v>119</v>
      </c>
      <c r="AJ40" s="27" t="str">
        <f ca="1">_xll.LTTbl_Create(,AK39:AL40)</f>
        <v>::TBL[102]@10:49:18-20140424</v>
      </c>
      <c r="AK40" s="27" t="s">
        <v>120</v>
      </c>
      <c r="AL40" s="27" t="s">
        <v>119</v>
      </c>
    </row>
    <row r="41" spans="2:38" x14ac:dyDescent="0.2">
      <c r="B41" s="15" t="s">
        <v>47</v>
      </c>
      <c r="C41" s="54" t="s">
        <v>7</v>
      </c>
      <c r="E41" s="20" t="s">
        <v>53</v>
      </c>
      <c r="F41" s="21">
        <v>3.95E-2</v>
      </c>
      <c r="G41" s="21">
        <v>0</v>
      </c>
      <c r="H41" s="22">
        <v>40003</v>
      </c>
      <c r="I41" s="22">
        <f ca="1">_xll.QLDtBasic_addDuration("Default",H41,E41)</f>
        <v>41829</v>
      </c>
      <c r="J41" s="21" t="s">
        <v>44</v>
      </c>
      <c r="K41" s="20" t="s">
        <v>44</v>
      </c>
      <c r="L41" s="22" t="s">
        <v>126</v>
      </c>
      <c r="M41" s="33"/>
      <c r="N41" s="9" t="str">
        <f t="shared" ca="1" si="0"/>
        <v>5Y</v>
      </c>
      <c r="O41" s="9"/>
      <c r="P41" s="25">
        <f t="shared" ca="1" si="1"/>
        <v>3.95E-2</v>
      </c>
    </row>
    <row r="42" spans="2:38" x14ac:dyDescent="0.2">
      <c r="B42" s="20" t="s">
        <v>130</v>
      </c>
      <c r="C42" s="7" t="str">
        <f ca="1">$C$2</f>
        <v>IR-EUR EURIB-COBL@09072009::TBL[131]@10:49:18-20140424</v>
      </c>
      <c r="E42" s="20" t="s">
        <v>62</v>
      </c>
      <c r="F42" s="21">
        <v>4.2500000000000003E-2</v>
      </c>
      <c r="G42" s="21">
        <v>0</v>
      </c>
      <c r="H42" s="22">
        <v>40003</v>
      </c>
      <c r="I42" s="22">
        <f ca="1">_xll.QLDtBasic_addDuration("Default",H42,E42)</f>
        <v>42560</v>
      </c>
      <c r="J42" s="21" t="s">
        <v>44</v>
      </c>
      <c r="K42" s="20" t="s">
        <v>44</v>
      </c>
      <c r="L42" s="22" t="s">
        <v>126</v>
      </c>
      <c r="M42" s="33"/>
      <c r="N42" s="9" t="str">
        <f t="shared" ca="1" si="0"/>
        <v>7Y</v>
      </c>
      <c r="O42" s="9"/>
      <c r="P42" s="25">
        <f t="shared" ca="1" si="1"/>
        <v>4.2500000000000003E-2</v>
      </c>
      <c r="AF42" s="5" t="s">
        <v>138</v>
      </c>
      <c r="AG42" s="5"/>
      <c r="AH42" s="5"/>
      <c r="AI42" s="5"/>
      <c r="AJ42" s="5"/>
      <c r="AK42" s="5"/>
      <c r="AL42" s="5"/>
    </row>
    <row r="43" spans="2:38" x14ac:dyDescent="0.2">
      <c r="B43" s="40"/>
      <c r="C43" s="26"/>
      <c r="E43" s="20" t="s">
        <v>70</v>
      </c>
      <c r="F43" s="21">
        <v>4.4999999999999998E-2</v>
      </c>
      <c r="G43" s="21">
        <v>0</v>
      </c>
      <c r="H43" s="22">
        <v>40003</v>
      </c>
      <c r="I43" s="22">
        <f ca="1">_xll.QLDtBasic_addDuration("Default",H43,E43)</f>
        <v>43655</v>
      </c>
      <c r="J43" s="21" t="s">
        <v>44</v>
      </c>
      <c r="K43" s="20" t="s">
        <v>44</v>
      </c>
      <c r="L43" s="22" t="s">
        <v>126</v>
      </c>
      <c r="M43" s="33"/>
      <c r="N43" s="9" t="str">
        <f t="shared" ca="1" si="0"/>
        <v>10Y</v>
      </c>
      <c r="O43" s="9"/>
      <c r="P43" s="25">
        <f t="shared" ca="1" si="1"/>
        <v>4.4999999999999998E-2</v>
      </c>
    </row>
    <row r="44" spans="2:38" x14ac:dyDescent="0.2">
      <c r="B44" s="6" t="s">
        <v>16</v>
      </c>
      <c r="C44" s="14" t="str">
        <f ca="1">_xll.QLIL_create(C10,"IRCurve_YieldCurve",C2)</f>
        <v>IR-EUR EURIB-COBL@09072009::Price_IL[6]@10:49:18-20140424</v>
      </c>
      <c r="E44" s="20" t="s">
        <v>74</v>
      </c>
      <c r="F44" s="21">
        <v>4.6500000000000007E-2</v>
      </c>
      <c r="G44" s="21">
        <v>0</v>
      </c>
      <c r="H44" s="22">
        <v>40003</v>
      </c>
      <c r="I44" s="22">
        <f ca="1">_xll.QLDtBasic_addDuration("Default",H44,E44)</f>
        <v>44386</v>
      </c>
      <c r="J44" s="21" t="s">
        <v>44</v>
      </c>
      <c r="K44" s="20" t="s">
        <v>44</v>
      </c>
      <c r="L44" s="22" t="s">
        <v>126</v>
      </c>
      <c r="M44" s="33"/>
      <c r="N44" s="9" t="str">
        <f t="shared" ca="1" si="0"/>
        <v>12Y</v>
      </c>
      <c r="O44" s="9"/>
      <c r="P44" s="25">
        <f t="shared" ca="1" si="1"/>
        <v>4.6500000000000007E-2</v>
      </c>
      <c r="AF44" s="1" t="str">
        <f ca="1">C46</f>
        <v>Model Parameters::TBL[134(0,0)]@10:49:18-20140424</v>
      </c>
      <c r="AI44" s="1" t="str">
        <f ca="1">_xll.LTTbl_Create($AF$4,AI45:AJ51,"r")</f>
        <v>Model Parameters::TBL[143]@10:49:18-20140424</v>
      </c>
    </row>
    <row r="45" spans="2:38" x14ac:dyDescent="0.2">
      <c r="B45" s="41" t="s">
        <v>37</v>
      </c>
      <c r="C45" s="14" t="str">
        <f ca="1">_xll.QLIL_apply($C$44,B45,C40)</f>
        <v>Results::TBL[133]@10:49:18-20140424</v>
      </c>
      <c r="E45" s="20" t="s">
        <v>78</v>
      </c>
      <c r="F45" s="21">
        <v>4.7800000000000002E-2</v>
      </c>
      <c r="G45" s="21">
        <v>0</v>
      </c>
      <c r="H45" s="22">
        <v>40003</v>
      </c>
      <c r="I45" s="22">
        <f ca="1">_xll.QLDtBasic_addDuration("Default",H45,E45)</f>
        <v>45482</v>
      </c>
      <c r="J45" s="21" t="s">
        <v>44</v>
      </c>
      <c r="K45" s="20" t="s">
        <v>44</v>
      </c>
      <c r="L45" s="22" t="s">
        <v>126</v>
      </c>
      <c r="M45" s="33"/>
      <c r="N45" s="9" t="str">
        <f t="shared" ca="1" si="0"/>
        <v>15Y</v>
      </c>
      <c r="O45" s="9"/>
      <c r="P45" s="25">
        <f t="shared" ca="1" si="1"/>
        <v>4.7800000000000002E-2</v>
      </c>
      <c r="AF45" s="47" t="str">
        <f t="array" aca="1" ref="AF45:AG51" ca="1">_xll.LTTbl_Get(AF44,"r")</f>
        <v>Curves Interpolation</v>
      </c>
      <c r="AG45" s="9" t="str">
        <f ca="1"/>
        <v>EUR::TBL[135(1,0)]@10:49:18-20140424</v>
      </c>
      <c r="AI45" s="6" t="str">
        <f ca="1">AF7</f>
        <v>Curves Interpolation</v>
      </c>
      <c r="AJ45" s="38" t="str">
        <f ca="1">_xll.LTTbl_Create($AI$45,AI52:AJ52,"r")</f>
        <v>Curves Interpolation::TBL[142]@10:49:18-20140424</v>
      </c>
    </row>
    <row r="46" spans="2:38" x14ac:dyDescent="0.2">
      <c r="B46" s="6" t="s">
        <v>15</v>
      </c>
      <c r="C46" s="7" t="str">
        <f ca="1">_xll.LTTbl_GetByXPath(C45,"DefaultModelParameters")</f>
        <v>Model Parameters::TBL[134(0,0)]@10:49:18-20140424</v>
      </c>
      <c r="E46" s="20" t="s">
        <v>81</v>
      </c>
      <c r="F46" s="21">
        <v>4.8799999999999996E-2</v>
      </c>
      <c r="G46" s="21">
        <v>0</v>
      </c>
      <c r="H46" s="22">
        <v>40003</v>
      </c>
      <c r="I46" s="22">
        <f ca="1">_xll.QLDtBasic_addDuration("Default",H46,E46)</f>
        <v>47308</v>
      </c>
      <c r="J46" s="21" t="s">
        <v>44</v>
      </c>
      <c r="K46" s="20" t="s">
        <v>44</v>
      </c>
      <c r="L46" s="22" t="s">
        <v>126</v>
      </c>
      <c r="M46" s="33"/>
      <c r="N46" s="9" t="str">
        <f t="shared" ca="1" si="0"/>
        <v>20Y</v>
      </c>
      <c r="O46" s="9"/>
      <c r="P46" s="25">
        <f t="shared" ca="1" si="1"/>
        <v>4.8799999999999996E-2</v>
      </c>
      <c r="AF46" s="47" t="str">
        <f ca="1"/>
        <v>Kpp</v>
      </c>
      <c r="AG46" s="9" t="str">
        <f ca="1"/>
        <v>No Cash End Date</v>
      </c>
      <c r="AI46" s="6" t="str">
        <f ca="1">AF8</f>
        <v>Kpp</v>
      </c>
      <c r="AJ46" s="9" t="s">
        <v>151</v>
      </c>
    </row>
    <row r="47" spans="2:38" x14ac:dyDescent="0.2">
      <c r="B47" s="6" t="s">
        <v>132</v>
      </c>
      <c r="C47" s="14" t="str">
        <f ca="1">_xll.LTTbl_Create(B47,AI65:AJ69,"r")</f>
        <v>CurveParams::TBL[144]@10:49:18-20140424</v>
      </c>
      <c r="E47" s="20" t="s">
        <v>87</v>
      </c>
      <c r="F47" s="21">
        <v>4.8499999999999995E-2</v>
      </c>
      <c r="G47" s="21">
        <v>0</v>
      </c>
      <c r="H47" s="22">
        <v>40003</v>
      </c>
      <c r="I47" s="22">
        <f ca="1">_xll.QLDtBasic_addDuration("Default",H47,E47)</f>
        <v>50960</v>
      </c>
      <c r="J47" s="21" t="s">
        <v>44</v>
      </c>
      <c r="K47" s="20" t="s">
        <v>44</v>
      </c>
      <c r="L47" s="22" t="s">
        <v>126</v>
      </c>
      <c r="M47" s="33"/>
      <c r="N47" s="9" t="str">
        <f t="shared" ca="1" si="0"/>
        <v>30Y</v>
      </c>
      <c r="O47" s="9"/>
      <c r="P47" s="25">
        <f t="shared" ca="1" si="1"/>
        <v>4.8499999999999995E-2</v>
      </c>
      <c r="AF47" s="47" t="str">
        <f ca="1"/>
        <v>Initialization</v>
      </c>
      <c r="AG47" s="9" t="str">
        <f ca="1"/>
        <v>FromInstruments</v>
      </c>
      <c r="AI47" s="6" t="str">
        <f ca="1">AF11</f>
        <v>Initialization</v>
      </c>
      <c r="AJ47" s="44" t="str">
        <f ca="1">AG11</f>
        <v>FromInstruments</v>
      </c>
    </row>
    <row r="48" spans="2:38" x14ac:dyDescent="0.2">
      <c r="B48" s="43" t="s">
        <v>0</v>
      </c>
      <c r="C48" s="14" t="str">
        <f ca="1">_xll.QLIRCurve_create(B48,C47)</f>
        <v>IRCurve::Price_IRCurve[7]@10:49:18-20140424</v>
      </c>
      <c r="E48" s="20"/>
      <c r="F48" s="21"/>
      <c r="G48" s="21"/>
      <c r="H48" s="22"/>
      <c r="I48" s="22"/>
      <c r="J48" s="21"/>
      <c r="K48" s="20"/>
      <c r="L48" s="22"/>
      <c r="M48" s="33"/>
      <c r="AF48" s="47" t="str">
        <f ca="1"/>
        <v>Initialization Parameters</v>
      </c>
      <c r="AG48" s="9" t="str">
        <f ca="1"/>
        <v>Initialization Params::TBL[136(1,3)]@10:49:18-20140424</v>
      </c>
      <c r="AI48" s="6" t="str">
        <f ca="1">AF12</f>
        <v xml:space="preserve">Initialization Parameters </v>
      </c>
      <c r="AJ48" s="9"/>
    </row>
    <row r="49" spans="2:36" x14ac:dyDescent="0.2">
      <c r="E49" s="20"/>
      <c r="F49" s="21"/>
      <c r="G49" s="21"/>
      <c r="H49" s="22"/>
      <c r="I49" s="22"/>
      <c r="J49" s="21"/>
      <c r="K49" s="20"/>
      <c r="L49" s="22"/>
      <c r="M49" s="33"/>
      <c r="AF49" s="47" t="str">
        <f ca="1"/>
        <v>Solver</v>
      </c>
      <c r="AG49" s="9" t="str">
        <f ca="1"/>
        <v>LevMar2</v>
      </c>
      <c r="AI49" s="6" t="str">
        <f ca="1">AF5</f>
        <v>Solver</v>
      </c>
      <c r="AJ49" s="9" t="str">
        <f ca="1">AG5</f>
        <v>LevMar2</v>
      </c>
    </row>
    <row r="50" spans="2:36" x14ac:dyDescent="0.2">
      <c r="B50" s="1" t="s">
        <v>24</v>
      </c>
      <c r="C50" s="1" t="s">
        <v>133</v>
      </c>
      <c r="E50" s="20"/>
      <c r="F50" s="21"/>
      <c r="G50" s="21"/>
      <c r="H50" s="22"/>
      <c r="I50" s="22"/>
      <c r="J50" s="21"/>
      <c r="K50" s="20"/>
      <c r="L50" s="22"/>
      <c r="M50" s="33"/>
      <c r="AF50" s="47" t="str">
        <f ca="1"/>
        <v>Solver Parameters</v>
      </c>
      <c r="AG50" s="9" t="str">
        <f ca="1"/>
        <v>Solver Params::TBL[137(1,5)]@10:49:18-20140424</v>
      </c>
      <c r="AI50" s="6" t="str">
        <f ca="1">AF6</f>
        <v>Solver Parameters</v>
      </c>
      <c r="AJ50" s="9"/>
    </row>
    <row r="51" spans="2:36" x14ac:dyDescent="0.2">
      <c r="B51" s="44">
        <f ca="1">_xll.QLDtBasic_addDuration("default",C13,"1m")</f>
        <v>40034</v>
      </c>
      <c r="C51" s="9">
        <f ca="1">_xll.QLIRCurve_getDF(C48,B51)</f>
        <v>0.99927576097612592</v>
      </c>
      <c r="E51" s="20"/>
      <c r="F51" s="21"/>
      <c r="G51" s="21"/>
      <c r="H51" s="22"/>
      <c r="I51" s="22"/>
      <c r="J51" s="21"/>
      <c r="K51" s="20"/>
      <c r="L51" s="22"/>
      <c r="M51" s="33"/>
      <c r="AF51" s="47" t="str">
        <f ca="1"/>
        <v>Cache Parameters</v>
      </c>
      <c r="AG51" s="9" t="str">
        <f ca="1"/>
        <v>Cache Parameters::TBL[138(1,6)]@10:49:18-20140424</v>
      </c>
      <c r="AI51" s="6" t="str">
        <f ca="1">AF9</f>
        <v xml:space="preserve">Cache Parameters </v>
      </c>
      <c r="AJ51" s="9" t="str">
        <f ca="1">AG18</f>
        <v>Cache Parameters::TBL[117]@10:49:18-20140424</v>
      </c>
    </row>
    <row r="52" spans="2:36" x14ac:dyDescent="0.2">
      <c r="B52" s="44">
        <f ca="1">_xll.QLDtBasic_addDuration("default",C14,"30y")</f>
        <v>50960</v>
      </c>
      <c r="C52" s="9">
        <f ca="1">_xll.QLIRCurve_getDF(C48,B52)</f>
        <v>0.22667916479736097</v>
      </c>
      <c r="M52" s="33"/>
      <c r="AI52" s="6" t="s">
        <v>31</v>
      </c>
      <c r="AJ52" s="9" t="str">
        <f ca="1">_xll.LTTbl_Create($AI$54,AI55:AJ59,"r")</f>
        <v>Curve Interpolation::TBL[141]@10:49:18-20140424</v>
      </c>
    </row>
    <row r="53" spans="2:36" x14ac:dyDescent="0.2">
      <c r="B53" s="55"/>
      <c r="C53" s="33"/>
      <c r="AF53" s="1" t="str">
        <f ca="1">AF45</f>
        <v>Curves Interpolation</v>
      </c>
    </row>
    <row r="54" spans="2:36" x14ac:dyDescent="0.2">
      <c r="AF54" s="47" t="str">
        <f t="array" aca="1" ref="AF54:AG58" ca="1">_xll.LTTbl_Get(AG45,"r")</f>
        <v>Curve Type</v>
      </c>
      <c r="AG54" s="9" t="str">
        <f ca="1"/>
        <v>BaseCurve</v>
      </c>
      <c r="AI54" s="1" t="str">
        <f ca="1">AG26</f>
        <v>Curve Interpolation</v>
      </c>
    </row>
    <row r="55" spans="2:36" x14ac:dyDescent="0.2">
      <c r="AF55" s="47" t="str">
        <f ca="1"/>
        <v>Interp Curve</v>
      </c>
      <c r="AG55" s="9" t="str">
        <f ca="1"/>
        <v>Interp Curve::TBL[139(1,1)]@10:49:18-20140424</v>
      </c>
      <c r="AI55" s="6" t="str">
        <f ca="1">AG29</f>
        <v>Curve Type</v>
      </c>
      <c r="AJ55" s="9" t="str">
        <f ca="1">AG54</f>
        <v>BaseCurve</v>
      </c>
    </row>
    <row r="56" spans="2:36" x14ac:dyDescent="0.2">
      <c r="AF56" s="47" t="str">
        <f ca="1"/>
        <v>Left Extrap</v>
      </c>
      <c r="AG56" s="9" t="str">
        <f ca="1"/>
        <v>Flat</v>
      </c>
      <c r="AI56" s="6" t="str">
        <f ca="1">AJ29</f>
        <v>Interp Curve</v>
      </c>
      <c r="AJ56" s="38" t="str">
        <f ca="1">_xll.LTTbl_Create(AI56,AI62:AJ63,"r")</f>
        <v>Interp Curve::TBL[140]@10:49:18-20140424</v>
      </c>
    </row>
    <row r="57" spans="2:36" x14ac:dyDescent="0.2">
      <c r="AF57" s="47" t="str">
        <f ca="1"/>
        <v>Right Extrap</v>
      </c>
      <c r="AG57" s="9" t="str">
        <f ca="1"/>
        <v>StraightLine</v>
      </c>
      <c r="AI57" s="6" t="str">
        <f ca="1">AH29</f>
        <v>Left Extrap</v>
      </c>
      <c r="AJ57" s="9" t="str">
        <f ca="1">AG56</f>
        <v>Flat</v>
      </c>
    </row>
    <row r="58" spans="2:36" x14ac:dyDescent="0.2">
      <c r="AF58" s="47" t="str">
        <f ca="1"/>
        <v>Formulation</v>
      </c>
      <c r="AG58" s="9" t="str">
        <f ca="1"/>
        <v>LogFvf</v>
      </c>
      <c r="AI58" s="6" t="str">
        <f ca="1">AI29</f>
        <v>Right Extrap</v>
      </c>
      <c r="AJ58" s="9" t="str">
        <f ca="1">AG57</f>
        <v>StraightLine</v>
      </c>
    </row>
    <row r="59" spans="2:36" x14ac:dyDescent="0.2">
      <c r="AI59" s="6" t="s">
        <v>152</v>
      </c>
      <c r="AJ59" s="9" t="str">
        <f ca="1">AG58</f>
        <v>LogFvf</v>
      </c>
    </row>
    <row r="60" spans="2:36" x14ac:dyDescent="0.2">
      <c r="AF60" s="1" t="str">
        <f ca="1">AF55</f>
        <v>Interp Curve</v>
      </c>
    </row>
    <row r="61" spans="2:36" x14ac:dyDescent="0.2">
      <c r="AF61" s="47" t="str">
        <f t="array" aca="1" ref="AF61:AG62" ca="1">_xll.LTTbl_Get(AG55,"r")</f>
        <v>Curve Type</v>
      </c>
      <c r="AG61" s="9" t="str">
        <f ca="1"/>
        <v>UkpCurve</v>
      </c>
      <c r="AI61" s="1" t="str">
        <f ca="1">AI56</f>
        <v>Interp Curve</v>
      </c>
    </row>
    <row r="62" spans="2:36" x14ac:dyDescent="0.2">
      <c r="AF62" s="47" t="str">
        <f ca="1"/>
        <v>Interp</v>
      </c>
      <c r="AG62" s="9" t="str">
        <f ca="1"/>
        <v>StraightLine</v>
      </c>
      <c r="AI62" s="6" t="str">
        <f ca="1">AI55</f>
        <v>Curve Type</v>
      </c>
      <c r="AJ62" s="9" t="str">
        <f ca="1">AG61</f>
        <v>UkpCurve</v>
      </c>
    </row>
    <row r="63" spans="2:36" x14ac:dyDescent="0.2">
      <c r="AI63" s="6" t="str">
        <f ca="1">AL29</f>
        <v>Interp</v>
      </c>
      <c r="AJ63" s="38" t="s">
        <v>127</v>
      </c>
    </row>
    <row r="64" spans="2:36" x14ac:dyDescent="0.2">
      <c r="AF64" s="1" t="str">
        <f t="array" aca="1" ref="AF64:AG69" ca="1">_xll.LTTbl_Get(AG51,"r")</f>
        <v>Discount Factor Cache</v>
      </c>
      <c r="AG64" s="1">
        <f ca="1"/>
        <v>1</v>
      </c>
    </row>
    <row r="65" spans="32:36" x14ac:dyDescent="0.2">
      <c r="AF65" s="1" t="str">
        <f ca="1"/>
        <v>Tenor DF Cache</v>
      </c>
      <c r="AG65" s="1">
        <f ca="1"/>
        <v>1</v>
      </c>
      <c r="AI65" s="6" t="str">
        <f t="shared" ref="AI65:AJ68" ca="1" si="2">B3</f>
        <v>Curve Details</v>
      </c>
      <c r="AJ65" s="9" t="str">
        <f t="shared" ca="1" si="2"/>
        <v>Curve Details::TBL[120]@10:49:18-20140424</v>
      </c>
    </row>
    <row r="66" spans="32:36" x14ac:dyDescent="0.2">
      <c r="AF66" s="1" t="str">
        <f ca="1"/>
        <v>Fwd Rate Cache</v>
      </c>
      <c r="AG66" s="1">
        <f ca="1"/>
        <v>1</v>
      </c>
      <c r="AI66" s="6" t="str">
        <f t="shared" ca="1" si="2"/>
        <v>Curve Parameters</v>
      </c>
      <c r="AJ66" s="9" t="str">
        <f t="shared" ca="1" si="2"/>
        <v>Curve Parameters::TBL[116]@10:49:18-20140424</v>
      </c>
    </row>
    <row r="67" spans="32:36" x14ac:dyDescent="0.2">
      <c r="AF67" s="1" t="str">
        <f ca="1"/>
        <v>Discounted Fwd Rate Cache</v>
      </c>
      <c r="AG67" s="1">
        <f ca="1"/>
        <v>1</v>
      </c>
      <c r="AI67" s="6" t="str">
        <f t="shared" ca="1" si="2"/>
        <v>Instrument List</v>
      </c>
      <c r="AJ67" s="9" t="str">
        <f t="shared" ca="1" si="2"/>
        <v>Instrument List::TBL[129]@10:49:18-20140424</v>
      </c>
    </row>
    <row r="68" spans="32:36" x14ac:dyDescent="0.2">
      <c r="AF68" s="1" t="str">
        <f ca="1"/>
        <v>Fxd Leg Cache</v>
      </c>
      <c r="AG68" s="1">
        <f ca="1"/>
        <v>1</v>
      </c>
      <c r="AI68" s="6" t="str">
        <f t="shared" ca="1" si="2"/>
        <v>Model</v>
      </c>
      <c r="AJ68" s="9" t="str">
        <f t="shared" ca="1" si="2"/>
        <v>Stripper</v>
      </c>
    </row>
    <row r="69" spans="32:36" x14ac:dyDescent="0.2">
      <c r="AF69" s="1" t="str">
        <f ca="1"/>
        <v>Flt Leg Cache</v>
      </c>
      <c r="AG69" s="1">
        <f ca="1"/>
        <v>1</v>
      </c>
      <c r="AI69" s="6" t="str">
        <f ca="1">AF4</f>
        <v>Model Parameters</v>
      </c>
      <c r="AJ69" s="9" t="str">
        <f ca="1">AI44</f>
        <v>Model Parameters::TBL[143]@10:49:18-20140424</v>
      </c>
    </row>
  </sheetData>
  <mergeCells count="1">
    <mergeCell ref="Z5:AD5"/>
  </mergeCells>
  <pageMargins left="0.75" right="0.75" top="1" bottom="1" header="0.5" footer="0.5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J20"/>
  <sheetViews>
    <sheetView showGridLines="0" tabSelected="1" zoomScale="85" workbookViewId="0">
      <selection activeCell="C19" sqref="C19"/>
    </sheetView>
  </sheetViews>
  <sheetFormatPr defaultColWidth="8.5703125" defaultRowHeight="12.75" x14ac:dyDescent="0.2"/>
  <cols>
    <col min="1" max="1" width="2" customWidth="1"/>
    <col min="2" max="10" width="15.28515625" customWidth="1"/>
  </cols>
  <sheetData>
    <row r="2" spans="2:10" x14ac:dyDescent="0.2">
      <c r="B2" s="56" t="s">
        <v>153</v>
      </c>
      <c r="C2" s="56"/>
      <c r="D2" s="57"/>
      <c r="E2" s="57"/>
      <c r="F2" s="57"/>
      <c r="G2" s="57"/>
      <c r="H2" s="57"/>
      <c r="I2" s="57"/>
      <c r="J2" s="57"/>
    </row>
    <row r="3" spans="2:10" x14ac:dyDescent="0.2">
      <c r="B3" s="58" t="s">
        <v>24</v>
      </c>
      <c r="C3" s="59">
        <v>41395</v>
      </c>
      <c r="D3" s="57"/>
      <c r="E3" s="57"/>
      <c r="F3" s="57"/>
      <c r="G3" s="57"/>
      <c r="H3" s="57"/>
      <c r="I3" s="57"/>
      <c r="J3" s="57"/>
    </row>
    <row r="4" spans="2:10" x14ac:dyDescent="0.2">
      <c r="B4" s="58" t="s">
        <v>154</v>
      </c>
      <c r="C4" s="60" t="s">
        <v>155</v>
      </c>
      <c r="D4" s="57"/>
      <c r="E4" s="57"/>
      <c r="F4" s="57"/>
      <c r="G4" s="57"/>
      <c r="H4" s="57"/>
      <c r="I4" s="57"/>
      <c r="J4" s="57"/>
    </row>
    <row r="5" spans="2:10" x14ac:dyDescent="0.2">
      <c r="B5" s="57"/>
      <c r="C5" s="57"/>
      <c r="D5" s="57"/>
      <c r="E5" s="57"/>
      <c r="F5" s="57"/>
      <c r="G5" s="57"/>
      <c r="H5" s="57"/>
      <c r="I5" s="57"/>
      <c r="J5" s="57"/>
    </row>
    <row r="6" spans="2:10" x14ac:dyDescent="0.2">
      <c r="B6" s="61" t="s">
        <v>156</v>
      </c>
      <c r="C6" s="62" t="str">
        <f ca="1">_xll.LTTbl_Create("Market Data",H8:H28)</f>
        <v>Market Data::TBL[55]@09:55:36-20140424</v>
      </c>
      <c r="D6" s="57"/>
      <c r="E6" s="57"/>
      <c r="F6" s="57"/>
      <c r="G6" s="57"/>
      <c r="H6" s="57"/>
      <c r="I6" s="57"/>
      <c r="J6" s="57"/>
    </row>
    <row r="7" spans="2:10" x14ac:dyDescent="0.2">
      <c r="B7" s="57"/>
      <c r="C7" s="57"/>
      <c r="D7" s="57"/>
      <c r="E7" s="57"/>
      <c r="F7" s="57"/>
      <c r="G7" s="57"/>
      <c r="H7" s="57"/>
      <c r="I7" s="57"/>
      <c r="J7" s="57"/>
    </row>
    <row r="8" spans="2:10" x14ac:dyDescent="0.2">
      <c r="B8" s="61" t="s">
        <v>56</v>
      </c>
      <c r="C8" s="61" t="s">
        <v>157</v>
      </c>
      <c r="D8" s="61" t="s">
        <v>1</v>
      </c>
      <c r="E8" s="61" t="s">
        <v>158</v>
      </c>
      <c r="F8" s="61" t="s">
        <v>72</v>
      </c>
      <c r="G8" s="61" t="s">
        <v>159</v>
      </c>
      <c r="H8" s="61" t="s">
        <v>160</v>
      </c>
    </row>
    <row r="9" spans="2:10" x14ac:dyDescent="0.2">
      <c r="B9" s="9" t="s">
        <v>57</v>
      </c>
      <c r="C9" s="63" t="s">
        <v>161</v>
      </c>
      <c r="D9" s="63" t="s">
        <v>162</v>
      </c>
      <c r="E9" s="63" t="str">
        <f ca="1">$B9&amp;"!"&amp;$C9&amp;"!"&amp;$D9</f>
        <v>IR!GBP!LIBOR</v>
      </c>
      <c r="F9" s="63" t="s">
        <v>163</v>
      </c>
      <c r="G9" s="63" t="str">
        <f ca="1">$E9&amp;"="&amp;F9&amp;"@"&amp;TEXT(Rates_Date,"DDMMMYYYY")</f>
        <v>IR!GBP!LIBOR=SWAPS@01May2013</v>
      </c>
      <c r="H9" s="63" t="str">
        <f ca="1">_xll.LTTbl_Load(G9,$C$4&amp;TEXT(Rates_Date,"YYYY\_MM\_DD\\")&amp;F9&amp;"\"&amp;G9&amp;".TBL")</f>
        <v>IR!GBP!LIBOR=SWAPS@01May2013::TBL[52]@09:55:35-20140424</v>
      </c>
    </row>
    <row r="10" spans="2:10" x14ac:dyDescent="0.2">
      <c r="B10" s="9" t="s">
        <v>57</v>
      </c>
      <c r="C10" s="63" t="s">
        <v>164</v>
      </c>
      <c r="D10" s="63" t="s">
        <v>162</v>
      </c>
      <c r="E10" s="63" t="str">
        <f ca="1">$B10&amp;"!"&amp;$C10&amp;"!"&amp;$D10</f>
        <v>IR!USD!LIBOR</v>
      </c>
      <c r="F10" s="63" t="s">
        <v>163</v>
      </c>
      <c r="G10" s="63" t="str">
        <f ca="1">$E10&amp;"="&amp;F10&amp;"@"&amp;TEXT(Rates_Date,"DDMMMYYYY")</f>
        <v>IR!USD!LIBOR=SWAPS@01May2013</v>
      </c>
      <c r="H10" s="63" t="str">
        <f ca="1">_xll.LTTbl_Load(G10,$C$4&amp;TEXT(Rates_Date,"YYYY\_MM\_DD\\")&amp;F10&amp;"\"&amp;G10&amp;".TBL")</f>
        <v>IR!USD!LIBOR=SWAPS@01May2013::TBL[53]@09:55:35-20140424</v>
      </c>
    </row>
    <row r="12" spans="2:10" x14ac:dyDescent="0.2">
      <c r="B12" s="1" t="s">
        <v>137</v>
      </c>
      <c r="C12" s="1" t="str">
        <f ca="1">_xll.LTTbl_Create(B12,B13:C14)</f>
        <v>SpineCurvesQuery::TBL[3]@09:55:35-20140424</v>
      </c>
    </row>
    <row r="13" spans="2:10" x14ac:dyDescent="0.2">
      <c r="B13" s="6" t="s">
        <v>47</v>
      </c>
      <c r="C13" s="6" t="s">
        <v>7</v>
      </c>
    </row>
    <row r="14" spans="2:10" x14ac:dyDescent="0.2">
      <c r="B14" s="9" t="s">
        <v>51</v>
      </c>
      <c r="C14" s="9"/>
    </row>
    <row r="15" spans="2:10" x14ac:dyDescent="0.2">
      <c r="B15" s="33"/>
      <c r="C15" s="33"/>
    </row>
    <row r="16" spans="2:10" x14ac:dyDescent="0.2">
      <c r="B16" s="6" t="s">
        <v>16</v>
      </c>
      <c r="C16" s="9" t="str">
        <f ca="1">_xll.QLIL_create(B16,"IRCurve_YieldCurve",H9)</f>
        <v>Functor::Price_IL[1]@09:55:35-20140424</v>
      </c>
    </row>
    <row r="17" spans="2:3" x14ac:dyDescent="0.2">
      <c r="B17" s="6" t="s">
        <v>139</v>
      </c>
      <c r="C17" s="9" t="str">
        <f ca="1">_xll.QLIL_apply(C16,B17,C12)</f>
        <v>Result::TBL[54]@09:55:36-20140424</v>
      </c>
    </row>
    <row r="18" spans="2:3" x14ac:dyDescent="0.2">
      <c r="B18" s="6" t="s">
        <v>165</v>
      </c>
      <c r="C18" s="9" t="s">
        <v>166</v>
      </c>
    </row>
    <row r="19" spans="2:3" x14ac:dyDescent="0.2">
      <c r="B19" s="6" t="s">
        <v>167</v>
      </c>
      <c r="C19" s="9" t="b">
        <v>0</v>
      </c>
    </row>
    <row r="20" spans="2:3" x14ac:dyDescent="0.2">
      <c r="B20" s="6" t="s">
        <v>168</v>
      </c>
      <c r="C20" s="9" t="b">
        <f ca="1">IF(C19,_xll.LTTbl_Save(C17,C18))</f>
        <v>0</v>
      </c>
    </row>
  </sheetData>
  <pageMargins left="0.75" right="0.75" top="1" bottom="1" header="0.5" footer="0.5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MultiCurve</vt:lpstr>
      <vt:lpstr>SingleCurve</vt:lpstr>
      <vt:lpstr>Market</vt:lpstr>
      <vt:lpstr>Rates_Date</vt:lpstr>
    </vt:vector>
  </TitlesOfParts>
  <Company>Lloyds TSB Corporate Markets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Trovato</dc:creator>
  <cp:lastModifiedBy>kmc</cp:lastModifiedBy>
  <dcterms:created xsi:type="dcterms:W3CDTF">2009-08-05T07:47:03Z</dcterms:created>
  <dcterms:modified xsi:type="dcterms:W3CDTF">2014-04-24T12:44:54Z</dcterms:modified>
</cp:coreProperties>
</file>